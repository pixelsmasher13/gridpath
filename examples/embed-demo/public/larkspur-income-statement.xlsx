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e7d2bba5834c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ome statement" sheetId="1" r:id="R13f89579ef794767"/>
    <x:sheet xmlns:r="http://schemas.openxmlformats.org/officeDocument/2006/relationships" name="Operating model" sheetId="2" r:id="Rf540fe6211f74637"/>
    <x:sheet xmlns:r="http://schemas.openxmlformats.org/officeDocument/2006/relationships" name="Capital &amp; debt" sheetId="3" r:id="Rfe1f27a56c6842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&quot; M&quot;"/>
    <x:numFmt numFmtId="201" formatCode="0&quot; F&quot;"/>
    <x:numFmt numFmtId="202" formatCode="#,##0;(#,##0);&quot;–&quot;"/>
    <x:numFmt numFmtId="203" formatCode="0.0%;(0.0%);&quot;–&quot;"/>
    <x:numFmt numFmtId="204" formatCode="0.00;(0.00);&quot;–&quot;"/>
    <x:numFmt numFmtId="205" formatCode="&quot;$&quot;#,##0;(&quot;$&quot;#,##0);&quot;–&quot;"/>
    <x:numFmt numFmtId="206" formatCode="&quot;$&quot;0.00;(&quot;$&quot;0.00);&quot;–&quot;"/>
    <x:numFmt numFmtId="207" formatCode="  @"/>
    <x:numFmt numFmtId="208" formatCode="0"/>
  </x:numFmts>
  <x:fonts count="12">
    <x:font>
      <x:sz val="11"/>
      <x:name val="Carlito"/>
    </x:font>
    <x:font>
      <x:sz val="12"/>
      <x:color rgb="FF172B44"/>
      <x:name val="Arial"/>
    </x:font>
    <x:font>
      <x:b/>
      <x:sz val="18"/>
      <x:color rgb="FF172B44"/>
      <x:name val="Arial"/>
    </x:font>
    <x:font>
      <x:i/>
      <x:sz val="12"/>
      <x:color rgb="FF61748A"/>
      <x:name val="Arial"/>
    </x:font>
    <x:font>
      <x:b/>
      <x:sz val="10"/>
      <x:color rgb="FF61748A"/>
      <x:name val="Arial"/>
    </x:font>
    <x:font>
      <x:b/>
      <x:sz val="10"/>
      <x:color rgb="FF244C75"/>
      <x:name val="Arial"/>
    </x:font>
    <x:font>
      <x:b/>
      <x:sz val="12"/>
      <x:color rgb="FFFFFFFF"/>
      <x:name val="Arial"/>
    </x:font>
    <x:font>
      <x:sz val="12"/>
      <x:color rgb="FF1D4ED8"/>
      <x:name val="Arial"/>
    </x:font>
    <x:font>
      <x:i/>
      <x:sz val="10"/>
      <x:color rgb="FF61748A"/>
      <x:name val="Arial"/>
    </x:font>
    <x:font>
      <x:b/>
      <x:sz val="12"/>
      <x:color rgb="FF172B44"/>
      <x:name val="Arial"/>
    </x:font>
    <x:font>
      <x:sz val="12"/>
      <x:color rgb="FF008040"/>
      <x:name val="Arial"/>
    </x:font>
    <x:font>
      <x:sz val="12"/>
      <x:color rgb="FF000000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E4E8ED"/>
      </x:patternFill>
    </x:fill>
    <x:fill>
      <x:patternFill patternType="solid">
        <x:fgColor rgb="FFDDE8F3"/>
      </x:patternFill>
    </x:fill>
    <x:fill>
      <x:patternFill patternType="solid">
        <x:fgColor rgb="FF183650"/>
      </x:patternFill>
    </x:fill>
    <x:fill>
      <x:patternFill patternType="solid">
        <x:fgColor rgb="FFF5F6F8"/>
      </x:patternFill>
    </x:fill>
    <x:fill>
      <x:patternFill patternType="solid">
        <x:fgColor rgb="FFFFF1C6"/>
      </x:patternFill>
    </x:fill>
    <x:fill>
      <x:patternFill patternType="solid">
        <x:fgColor rgb="FFE6ECF3"/>
      </x:patternFill>
    </x:fill>
    <x:fill>
      <x:patternFill patternType="solid">
        <x:fgColor rgb="FFFFFFFF"/>
      </x:patternFill>
    </x:fill>
    <x:fill>
      <x:patternFill patternType="solid">
        <x:fgColor rgb="FFEAF0F7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7D96B2"/>
      </x:bottom>
      <x:diagonal/>
    </x:border>
    <x:border>
      <x:left/>
      <x:right/>
      <x:top style="thin">
        <x:color rgb="FF91A5BC"/>
      </x:top>
      <x:bottom/>
      <x:diagonal/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0" fontId="5" fillId="3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0" fontId="1" fillId="4" borderId="0" xfId="0" applyNumberFormat="1" applyFont="1" applyFill="1" applyBorder="1" applyAlignment="1">
      <x:alignment vertical="center" wrapText="0"/>
    </x:xf>
    <x:xf numFmtId="200" fontId="1" fillId="4" borderId="0" xfId="0" applyNumberFormat="1" applyFont="1" applyFill="1" applyBorder="1" applyAlignment="1">
      <x:alignment vertical="center" wrapText="0"/>
    </x:xf>
    <x:xf numFmtId="201" fontId="1" fillId="4" borderId="0" xfId="0" applyNumberFormat="1" applyFont="1" applyFill="1" applyBorder="1" applyAlignment="1">
      <x:alignment vertical="center" wrapText="0"/>
    </x:xf>
    <x:xf numFmtId="0" fontId="6" fillId="4" borderId="0" xfId="0" applyNumberFormat="1" applyFont="1" applyFill="1" applyBorder="1" applyAlignment="1">
      <x:alignment vertical="center" wrapText="0"/>
    </x:xf>
    <x:xf numFmtId="200" fontId="6" fillId="4" borderId="0" xfId="0" applyNumberFormat="1" applyFont="1" applyFill="1" applyBorder="1" applyAlignment="1">
      <x:alignment vertical="center" wrapText="0"/>
    </x:xf>
    <x:xf numFmtId="201" fontId="6" fillId="4" borderId="0" xfId="0" applyNumberFormat="1" applyFont="1" applyFill="1" applyBorder="1" applyAlignment="1">
      <x:alignment vertical="center" wrapText="0"/>
    </x:xf>
    <x:xf numFmtId="200" fontId="6" fillId="4" borderId="0" xfId="0" applyNumberFormat="1" applyFont="1" applyFill="1" applyBorder="1" applyAlignment="1">
      <x:alignment horizontal="center" vertical="center" wrapText="0"/>
    </x:xf>
    <x:xf numFmtId="201" fontId="6" fillId="4" borderId="0" xfId="0" applyNumberFormat="1" applyFont="1" applyFill="1" applyBorder="1" applyAlignment="1">
      <x:alignment horizontal="center" vertical="center" wrapText="0"/>
    </x:xf>
    <x:xf numFmtId="0" fontId="1" fillId="5" borderId="0" xfId="0" applyNumberFormat="1" applyFont="1" applyFill="1" applyBorder="1" applyAlignment="1">
      <x:alignment vertical="center" wrapText="0"/>
    </x:xf>
    <x:xf numFmtId="202" fontId="1" fillId="5" borderId="0" xfId="0" applyNumberFormat="1" applyFont="1" applyFill="1" applyBorder="1" applyAlignment="1">
      <x:alignment vertical="center" wrapText="0"/>
    </x:xf>
    <x:xf numFmtId="202" fontId="1" fillId="0" borderId="0" xfId="0" applyNumberFormat="1" applyFont="1" applyFill="1" applyBorder="1" applyAlignment="1">
      <x:alignment vertical="center" wrapText="0"/>
    </x:xf>
    <x:xf numFmtId="202" fontId="1" fillId="5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  <x:xf numFmtId="0" fontId="1" fillId="6" borderId="0" xfId="0" applyNumberFormat="1" applyFont="1" applyFill="1" applyBorder="1" applyAlignment="1">
      <x:alignment vertical="center" wrapText="0"/>
    </x:xf>
    <x:xf numFmtId="0" fontId="7" fillId="6" borderId="0" xfId="0" applyNumberFormat="1" applyFont="1" applyFill="1" applyBorder="1" applyAlignment="1">
      <x:alignment vertical="center" wrapText="0"/>
    </x:xf>
    <x:xf numFmtId="202" fontId="7" fillId="6" borderId="0" xfId="0" applyNumberFormat="1" applyFont="1" applyFill="1" applyBorder="1" applyAlignment="1">
      <x:alignment vertical="center" wrapText="0"/>
    </x:xf>
    <x:xf numFmtId="202" fontId="7" fillId="6" borderId="0" xfId="0" applyNumberFormat="1" applyFont="1" applyFill="1" applyBorder="1" applyAlignment="1">
      <x:alignment horizontal="right" vertical="center" wrapText="0"/>
    </x:xf>
    <x:xf numFmtId="0" fontId="8" fillId="0" borderId="0" xfId="0" applyNumberFormat="1" applyFont="1" applyFill="1" applyBorder="1" applyAlignment="1">
      <x:alignment vertical="center" wrapText="0"/>
    </x:xf>
    <x:xf numFmtId="0" fontId="1" fillId="7" borderId="0" xfId="0" applyNumberFormat="1" applyFont="1" applyFill="1" applyBorder="1" applyAlignment="1">
      <x:alignment vertical="center" wrapText="0"/>
    </x:xf>
    <x:xf numFmtId="202" fontId="1" fillId="7" borderId="0" xfId="0" applyNumberFormat="1" applyFont="1" applyFill="1" applyBorder="1" applyAlignment="1">
      <x:alignment horizontal="right" vertical="center" wrapText="0"/>
    </x:xf>
    <x:xf numFmtId="0" fontId="9" fillId="7" borderId="0" xfId="0" applyNumberFormat="1" applyFont="1" applyFill="1" applyBorder="1" applyAlignment="1">
      <x:alignment vertical="center" wrapText="0"/>
    </x:xf>
    <x:xf numFmtId="202" fontId="9" fillId="7" borderId="0" xfId="0" applyNumberFormat="1" applyFont="1" applyFill="1" applyBorder="1" applyAlignment="1">
      <x:alignment horizontal="right" vertical="center" wrapText="0"/>
    </x:xf>
    <x:xf numFmtId="202" fontId="1" fillId="6" borderId="0" xfId="0" applyNumberFormat="1" applyFont="1" applyFill="1" applyBorder="1" applyAlignment="1">
      <x:alignment horizontal="right" vertical="center" wrapText="0"/>
    </x:xf>
    <x:xf numFmtId="202" fontId="7" fillId="5" borderId="0" xfId="0" applyNumberFormat="1" applyFont="1" applyFill="1" applyBorder="1" applyAlignment="1">
      <x:alignment horizontal="right" vertical="center" wrapText="0"/>
    </x:xf>
    <x:xf numFmtId="202" fontId="10" fillId="0" borderId="0" xfId="0" applyNumberFormat="1" applyFont="1" applyFill="1" applyBorder="1" applyAlignment="1">
      <x:alignment horizontal="right" vertical="center" wrapText="0"/>
    </x:xf>
    <x:xf numFmtId="202" fontId="7" fillId="8" borderId="0" xfId="0" applyNumberFormat="1" applyFont="1" applyFill="1" applyBorder="1" applyAlignment="1">
      <x:alignment horizontal="right" vertical="center" wrapText="0"/>
    </x:xf>
    <x:xf numFmtId="202" fontId="11" fillId="8" borderId="0" xfId="0" applyNumberFormat="1" applyFont="1" applyFill="1" applyBorder="1" applyAlignment="1">
      <x:alignment horizontal="right" vertical="center" wrapText="0"/>
    </x:xf>
    <x:xf numFmtId="202" fontId="11" fillId="5" borderId="0" xfId="0" applyNumberFormat="1" applyFont="1" applyFill="1" applyBorder="1" applyAlignment="1">
      <x:alignment horizontal="right" vertical="center" wrapText="0"/>
    </x:xf>
    <x:xf numFmtId="203" fontId="11" fillId="5" borderId="0" xfId="0" applyNumberFormat="1" applyFont="1" applyFill="1" applyBorder="1" applyAlignment="1">
      <x:alignment horizontal="right" vertical="center" wrapText="0"/>
    </x:xf>
    <x:xf numFmtId="203" fontId="11" fillId="8" borderId="0" xfId="0" applyNumberFormat="1" applyFont="1" applyFill="1" applyBorder="1" applyAlignment="1">
      <x:alignment horizontal="right" vertical="center" wrapText="0"/>
    </x:xf>
    <x:xf numFmtId="203" fontId="7" fillId="6" borderId="0" xfId="0" applyNumberFormat="1" applyFont="1" applyFill="1" applyBorder="1" applyAlignment="1">
      <x:alignment horizontal="right" vertical="center" wrapText="0"/>
    </x:xf>
    <x:xf numFmtId="203" fontId="7" fillId="5" borderId="0" xfId="0" applyNumberFormat="1" applyFont="1" applyFill="1" applyBorder="1" applyAlignment="1">
      <x:alignment horizontal="right" vertical="center" wrapText="0"/>
    </x:xf>
    <x:xf numFmtId="204" fontId="1" fillId="5" borderId="0" xfId="0" applyNumberFormat="1" applyFont="1" applyFill="1" applyBorder="1" applyAlignment="1">
      <x:alignment horizontal="right" vertical="center" wrapText="0"/>
    </x:xf>
    <x:xf numFmtId="204" fontId="1" fillId="0" borderId="0" xfId="0" applyNumberFormat="1" applyFont="1" applyFill="1" applyBorder="1" applyAlignment="1">
      <x:alignment horizontal="right" vertical="center" wrapText="0"/>
    </x:xf>
    <x:xf numFmtId="204" fontId="7" fillId="5" borderId="0" xfId="0" applyNumberFormat="1" applyFont="1" applyFill="1" applyBorder="1" applyAlignment="1">
      <x:alignment horizontal="right" vertical="center" wrapText="0"/>
    </x:xf>
    <x:xf numFmtId="204" fontId="7" fillId="6" borderId="0" xfId="0" applyNumberFormat="1" applyFont="1" applyFill="1" applyBorder="1" applyAlignment="1">
      <x:alignment horizontal="right" vertical="center" wrapText="0"/>
    </x:xf>
    <x:xf numFmtId="0" fontId="1" fillId="9" borderId="0" xfId="0" applyNumberFormat="1" applyFont="1" applyFill="1" applyBorder="1" applyAlignment="1">
      <x:alignment vertical="center" wrapText="0"/>
    </x:xf>
    <x:xf numFmtId="202" fontId="1" fillId="9" borderId="0" xfId="0" applyNumberFormat="1" applyFont="1" applyFill="1" applyBorder="1" applyAlignment="1">
      <x:alignment horizontal="right" vertical="center" wrapText="0"/>
    </x:xf>
    <x:xf numFmtId="0" fontId="9" fillId="9" borderId="0" xfId="0" applyNumberFormat="1" applyFont="1" applyFill="1" applyBorder="1" applyAlignment="1">
      <x:alignment vertical="center" wrapText="0"/>
    </x:xf>
    <x:xf numFmtId="202" fontId="9" fillId="9" borderId="0" xfId="0" applyNumberFormat="1" applyFont="1" applyFill="1" applyBorder="1" applyAlignment="1">
      <x:alignment horizontal="right" vertical="center" wrapText="0"/>
    </x:xf>
    <x:xf numFmtId="0" fontId="9" fillId="9" borderId="2" xfId="0" applyNumberFormat="1" applyFont="1" applyFill="1" applyBorder="1" applyAlignment="1">
      <x:alignment vertical="center" wrapText="0"/>
    </x:xf>
    <x:xf numFmtId="202" fontId="9" fillId="9" borderId="2" xfId="0" applyNumberFormat="1" applyFont="1" applyFill="1" applyBorder="1" applyAlignment="1">
      <x:alignment horizontal="right" vertical="center" wrapText="0"/>
    </x:xf>
    <x:xf numFmtId="204" fontId="1" fillId="9" borderId="0" xfId="0" applyNumberFormat="1" applyFont="1" applyFill="1" applyBorder="1" applyAlignment="1">
      <x:alignment horizontal="right" vertical="center" wrapText="0"/>
    </x:xf>
    <x:xf numFmtId="204" fontId="9" fillId="9" borderId="0" xfId="0" applyNumberFormat="1" applyFont="1" applyFill="1" applyBorder="1" applyAlignment="1">
      <x:alignment horizontal="right" vertical="center" wrapText="0"/>
    </x:xf>
    <x:xf numFmtId="204" fontId="9" fillId="9" borderId="2" xfId="0" applyNumberFormat="1" applyFont="1" applyFill="1" applyBorder="1" applyAlignment="1">
      <x:alignment horizontal="right" vertical="center" wrapText="0"/>
    </x:xf>
    <x:xf numFmtId="202" fontId="1" fillId="4" borderId="0" xfId="0" applyNumberFormat="1" applyFont="1" applyFill="1" applyBorder="1" applyAlignment="1">
      <x:alignment horizontal="right" vertical="center" wrapText="0"/>
    </x:xf>
    <x:xf numFmtId="202" fontId="6" fillId="4" borderId="0" xfId="0" applyNumberFormat="1" applyFont="1" applyFill="1" applyBorder="1" applyAlignment="1">
      <x:alignment horizontal="right" vertical="center" wrapText="0"/>
    </x:xf>
    <x:xf numFmtId="0" fontId="6" fillId="4" borderId="2" xfId="0" applyNumberFormat="1" applyFont="1" applyFill="1" applyBorder="1" applyAlignment="1">
      <x:alignment vertical="center" wrapText="0"/>
    </x:xf>
    <x:xf numFmtId="202" fontId="6" fillId="4" borderId="2" xfId="0" applyNumberFormat="1" applyFont="1" applyFill="1" applyBorder="1" applyAlignment="1">
      <x:alignment horizontal="right" vertical="center" wrapText="0"/>
    </x:xf>
    <x:xf numFmtId="205" fontId="6" fillId="4" borderId="2" xfId="0" applyNumberFormat="1" applyFont="1" applyFill="1" applyBorder="1" applyAlignment="1">
      <x:alignment horizontal="right" vertical="center" wrapText="0"/>
    </x:xf>
    <x:xf numFmtId="205" fontId="9" fillId="9" borderId="2" xfId="0" applyNumberFormat="1" applyFont="1" applyFill="1" applyBorder="1" applyAlignment="1">
      <x:alignment horizontal="right" vertical="center" wrapText="0"/>
    </x:xf>
    <x:xf numFmtId="202" fontId="3" fillId="5" borderId="0" xfId="0" applyNumberFormat="1" applyFont="1" applyFill="1" applyBorder="1" applyAlignment="1">
      <x:alignment horizontal="right" vertical="center" wrapText="0"/>
    </x:xf>
    <x:xf numFmtId="202" fontId="3" fillId="0" borderId="0" xfId="0" applyNumberFormat="1" applyFont="1" applyFill="1" applyBorder="1" applyAlignment="1">
      <x:alignment horizontal="right" vertical="center" wrapText="0"/>
    </x:xf>
    <x:xf numFmtId="203" fontId="3" fillId="5" borderId="0" xfId="0" applyNumberFormat="1" applyFont="1" applyFill="1" applyBorder="1" applyAlignment="1">
      <x:alignment horizontal="right" vertical="center" wrapText="0"/>
    </x:xf>
    <x:xf numFmtId="203" fontId="3" fillId="0" borderId="0" xfId="0" applyNumberFormat="1" applyFont="1" applyFill="1" applyBorder="1" applyAlignment="1">
      <x:alignment horizontal="right" vertical="center" wrapText="0"/>
    </x:xf>
    <x:xf numFmtId="206" fontId="9" fillId="9" borderId="2" xfId="0" applyNumberFormat="1" applyFont="1" applyFill="1" applyBorder="1" applyAlignment="1">
      <x:alignment horizontal="right" vertical="center" wrapText="0"/>
    </x:xf>
    <x:xf numFmtId="207" fontId="1" fillId="0" borderId="0" xfId="0" applyNumberFormat="1" applyFont="1" applyFill="1" applyBorder="1" applyAlignment="1">
      <x:alignment vertical="center" wrapText="0"/>
    </x:xf>
    <x:xf numFmtId="208" fontId="1" fillId="0" borderId="0" xfId="0" applyNumberFormat="1" applyFont="1" applyFill="1" applyBorder="1" applyAlignment="1">
      <x:alignment vertical="center" wrapText="0"/>
    </x:xf>
    <x:xf numFmtId="203" fontId="1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a202da97e24243" /><Relationship Type="http://schemas.openxmlformats.org/officeDocument/2006/relationships/theme" Target="/xl/theme/theme1.xml" Id="R1128a26398e14945" /><Relationship Type="http://schemas.openxmlformats.org/officeDocument/2006/relationships/sharedStrings" Target="/xl/sharedStrings.xml" Id="Reb0886b9e90e4ada" /><Relationship Type="http://schemas.openxmlformats.org/officeDocument/2006/relationships/worksheet" Target="/xl/worksheets/sheet1.xml" Id="R13f89579ef794767" /><Relationship Type="http://schemas.openxmlformats.org/officeDocument/2006/relationships/worksheet" Target="/xl/worksheets/sheet2.xml" Id="Rf540fe6211f74637" /><Relationship Type="http://schemas.openxmlformats.org/officeDocument/2006/relationships/worksheet" Target="/xl/worksheets/sheet3.xml" Id="Rfe1f27a56c68423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30b14e364d14d21" /><Relationship Type="http://schemas.openxmlformats.org/officeDocument/2006/relationships/chart" Target="/xl/drawings/charts/chart2.xml" Id="Rc95aa4dc86fb4862" /><Relationship Type="http://schemas.openxmlformats.org/officeDocument/2006/relationships/chart" Target="/xl/drawings/charts/chart3.xml" Id="R38d70ad0683a4db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Revenue and EBITDA ($M)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</c:v>
          </c:tx>
          <c:spPr>
            <a:ln xmlns:a="http://schemas.openxmlformats.org/drawingml/2006/main" w="23813">
              <a:solidFill>
                <a:srgbClr val="315FBA"/>
              </a:solidFill>
              <a:prstDash val="solid"/>
            </a:ln>
          </c:spPr>
          <c:marker>
            <c:symbol val="none"/>
          </c:marker>
          <c:cat>
            <c:strRef>
              <c:f>'Income statement'!$C$52:$C$58</c:f>
              <c:strCache>
                <c:ptCount val="0"/>
              </c:strCache>
            </c:strRef>
          </c:cat>
          <c:val>
            <c:numRef>
              <c:f>'Income statement'!$D$52:$D$58</c:f>
              <c:numCache>
                <c:formatCode>#,##0;(#,##0);"–"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</c:v>
          </c:tx>
          <c:spPr>
            <a:ln xmlns:a="http://schemas.openxmlformats.org/drawingml/2006/main" w="23813">
              <a:solidFill>
                <a:srgbClr val="D38B30"/>
              </a:solidFill>
              <a:prstDash val="solid"/>
            </a:ln>
          </c:spPr>
          <c:marker>
            <c:symbol val="none"/>
          </c:marker>
          <c:cat>
            <c:strRef>
              <c:f>'Income statement'!$C$52:$C$58</c:f>
              <c:strCache>
                <c:ptCount val="0"/>
              </c:strCache>
            </c:strRef>
          </c:cat>
          <c:val>
            <c:numRef>
              <c:f>'Income statement'!$E$52:$E$58</c:f>
              <c:numCache>
                <c:formatCode>#,##0;(#,##0);"–"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Gross and EBITDA margins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Gross margin</c:v>
          </c:tx>
          <c:spPr>
            <a:ln xmlns:a="http://schemas.openxmlformats.org/drawingml/2006/main" w="23813">
              <a:solidFill>
                <a:srgbClr val="527A9A"/>
              </a:solidFill>
              <a:prstDash val="solid"/>
            </a:ln>
          </c:spPr>
          <c:marker>
            <c:symbol val="none"/>
          </c:marker>
          <c:cat>
            <c:strRef>
              <c:f>'Income statement'!$C$52:$C$58</c:f>
              <c:strCache>
                <c:ptCount val="0"/>
              </c:strCache>
            </c:strRef>
          </c:cat>
          <c:val>
            <c:numRef>
              <c:f>'Income statement'!$F$52:$F$58</c:f>
              <c:numCache>
                <c:formatCode>0.0%;(0.0%);"–"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 margin</c:v>
          </c:tx>
          <c:spPr>
            <a:ln xmlns:a="http://schemas.openxmlformats.org/drawingml/2006/main" w="23813">
              <a:solidFill>
                <a:srgbClr val="D38B30"/>
              </a:solidFill>
              <a:prstDash val="solid"/>
            </a:ln>
          </c:spPr>
          <c:marker>
            <c:symbol val="none"/>
          </c:marker>
          <c:cat>
            <c:strRef>
              <c:f>'Income statement'!$C$52:$C$58</c:f>
              <c:strCache>
                <c:ptCount val="0"/>
              </c:strCache>
            </c:strRef>
          </c:cat>
          <c:val>
            <c:numRef>
              <c:f>'Income statement'!$G$52:$G$58</c:f>
              <c:numCache>
                <c:formatCode>0.0%;(0.0%);"–"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Net income ($M)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Net income</c:v>
          </c:tx>
          <c:spPr>
            <a:ln xmlns:a="http://schemas.openxmlformats.org/drawingml/2006/main" w="23813">
              <a:solidFill>
                <a:srgbClr val="247469"/>
              </a:solidFill>
              <a:prstDash val="solid"/>
            </a:ln>
          </c:spPr>
          <c:marker>
            <c:symbol val="none"/>
          </c:marker>
          <c:cat>
            <c:strRef>
              <c:f>'Income statement'!$C$52:$C$58</c:f>
              <c:strCache>
                <c:ptCount val="0"/>
              </c:strCache>
            </c:strRef>
          </c:cat>
          <c:val>
            <c:numRef>
              <c:f>'Income statement'!$H$52:$H$58</c:f>
              <c:numCache>
                <c:formatCode>#,##0;(#,##0);"–"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27</xdr:row>
      <xdr:rowOff>0</xdr:rowOff>
    </xdr:from>
    <xdr:to>
      <xdr:col>19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0b14e364d14d21"/>
        </a:graphicData>
      </a:graphic>
    </xdr:graphicFrame>
    <xdr:clientData/>
  </xdr:twoCellAnchor>
  <xdr:twoCellAnchor>
    <xdr:from>
      <xdr:col>11</xdr:col>
      <xdr:colOff>0</xdr:colOff>
      <xdr:row>45</xdr:row>
      <xdr:rowOff>0</xdr:rowOff>
    </xdr:from>
    <xdr:to>
      <xdr:col>19</xdr:col>
      <xdr:colOff>0</xdr:colOff>
      <xdr:row>62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5aa4dc86fb4862"/>
        </a:graphicData>
      </a:graphic>
    </xdr:graphicFrame>
    <xdr:clientData/>
  </xdr:twoCellAnchor>
  <xdr:twoCellAnchor>
    <xdr:from>
      <xdr:col>11</xdr:col>
      <xdr:colOff>0</xdr:colOff>
      <xdr:row>9</xdr:row>
      <xdr:rowOff>0</xdr:rowOff>
    </xdr:from>
    <xdr:to>
      <xdr:col>19</xdr:col>
      <xdr:colOff>0</xdr:colOff>
      <xdr:row>26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d70ad0683a4db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959d02e1c4d429b" /></Relationships>
</file>

<file path=xl/worksheets/sheet1.xml><?xml version="1.0" encoding="utf-8"?>
<x:worksheet xmlns:x="http://schemas.openxmlformats.org/spreadsheetml/2006/main">
  <x:sheetPr>
    <x:tabColor rgb="FF18365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3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</x:cols>
  <x:sheetData>
    <x:row r="1" ht="21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2" customHeight="1">
      <x:c r="A2" s="3"/>
      <x:c r="B2" s="3"/>
      <x:c r="C2" s="5" t="str">
        <x:v>Larkspur Orbital / Consolidated income statement</x:v>
      </x:c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3" ht="21" customHeight="1">
      <x:c r="A3" s="3"/>
      <x:c r="B3" s="3"/>
      <x:c r="C3" s="7" t="str">
        <x:v>Illustrative integrated model · launch services, satellite connectivity and government programs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 ht="21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 ht="21" customHeight="1">
      <x:c r="A5" s="3"/>
      <x:c r="B5" s="3"/>
      <x:c r="C5" s="3" t="str">
        <x:v>2027 paid standard launches</x:v>
      </x:c>
      <x:c r="D5" s="3"/>
      <x:c r="E5" s="3"/>
      <x:c r="F5" s="30" t="n">
        <x:v>120</x:v>
      </x:c>
      <x:c r="G5" s="7" t="str">
        <x:v>Edit the amber cell to rerun the forecast</x:v>
      </x:c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</x:row>
    <x:row r="6" ht="21" customHeight="1">
      <x:c r="A6" s="3"/>
      <x:c r="B6" s="3"/>
      <x:c r="C6" s="31" t="str">
        <x:v>M = modeled base, not reported actuals. F = forecast. All company data and assumptions are fictional.</x:v>
      </x:c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</x:row>
    <x:row r="7" ht="21" customHeight="1">
      <x:c r="A7" s="3"/>
      <x:c r="B7" s="3"/>
      <x:c r="C7" s="3"/>
      <x:c r="D7" s="9" t="str">
        <x:v>MODELED BASE</x:v>
      </x:c>
      <x:c r="E7" s="9"/>
      <x:c r="F7" s="11" t="str">
        <x:v>FORECAST</x:v>
      </x:c>
      <x:c r="G7" s="11"/>
      <x:c r="H7" s="11"/>
      <x:c r="I7" s="11"/>
      <x:c r="J7" s="11"/>
      <x:c r="K7" s="3"/>
      <x:c r="L7" s="3"/>
      <x:c r="M7" s="3"/>
      <x:c r="N7" s="3"/>
      <x:c r="O7" s="3"/>
      <x:c r="P7" s="3"/>
      <x:c r="Q7" s="3"/>
      <x:c r="R7" s="3"/>
      <x:c r="S7" s="3"/>
    </x:row>
    <x:row r="8" ht="26" customHeight="1">
      <x:c r="A8" s="3"/>
      <x:c r="B8" s="3"/>
      <x:c r="C8" s="17" t="str">
        <x:v>USD millions, except where noted</x:v>
      </x:c>
      <x:c r="D8" s="20" t="n">
        <x:v>2025</x:v>
      </x:c>
      <x:c r="E8" s="20" t="n">
        <x:v>2026</x:v>
      </x:c>
      <x:c r="F8" s="21" t="n">
        <x:v>2027</x:v>
      </x:c>
      <x:c r="G8" s="21" t="n">
        <x:v>2028</x:v>
      </x:c>
      <x:c r="H8" s="21" t="n">
        <x:v>2029</x:v>
      </x:c>
      <x:c r="I8" s="21" t="n">
        <x:v>2030</x:v>
      </x:c>
      <x:c r="J8" s="21" t="n">
        <x:v>2031</x:v>
      </x:c>
      <x:c r="K8" s="3"/>
      <x:c r="L8" s="3"/>
      <x:c r="M8" s="3"/>
      <x:c r="N8" s="3"/>
      <x:c r="O8" s="3"/>
      <x:c r="P8" s="3"/>
      <x:c r="Q8" s="3"/>
      <x:c r="R8" s="3"/>
      <x:c r="S8" s="3"/>
    </x:row>
    <x:row r="9" ht="21" customHeight="1">
      <x:c r="A9" s="3"/>
      <x:c r="B9" s="3"/>
      <x:c r="C9" s="3"/>
      <x:c r="D9" s="25"/>
      <x:c r="E9" s="25"/>
      <x:c r="F9" s="26"/>
      <x:c r="G9" s="26"/>
      <x:c r="H9" s="26"/>
      <x:c r="I9" s="26"/>
      <x:c r="J9" s="26"/>
      <x:c r="K9" s="3"/>
      <x:c r="L9" s="3"/>
      <x:c r="M9" s="3"/>
      <x:c r="N9" s="3"/>
      <x:c r="O9" s="3"/>
      <x:c r="P9" s="3"/>
      <x:c r="Q9" s="3"/>
      <x:c r="R9" s="3"/>
      <x:c r="S9" s="3"/>
    </x:row>
    <x:row r="10" ht="24" customHeight="1">
      <x:c r="A10" s="3"/>
      <x:c r="B10" s="3"/>
      <x:c r="C10" s="34" t="str">
        <x:v>REVENUE</x:v>
      </x:c>
      <x:c r="D10" s="35"/>
      <x:c r="E10" s="35"/>
      <x:c r="F10" s="35"/>
      <x:c r="G10" s="35"/>
      <x:c r="H10" s="35"/>
      <x:c r="I10" s="35"/>
      <x:c r="J10" s="35"/>
      <x:c r="K10" s="3"/>
      <x:c r="L10" s="3"/>
      <x:c r="M10" s="3"/>
      <x:c r="N10" s="3"/>
      <x:c r="O10" s="3"/>
      <x:c r="P10" s="3"/>
      <x:c r="Q10" s="3"/>
      <x:c r="R10" s="3"/>
      <x:c r="S10" s="3"/>
    </x:row>
    <x:row r="11" ht="21" customHeight="1">
      <x:c r="A11" s="3"/>
      <x:c r="B11" s="3"/>
      <x:c r="C11" s="70" t="str">
        <x:v>Commercial launch services</x:v>
      </x:c>
      <x:c r="D11" s="25" t="n">
        <x:f>'Operating model'!D24</x:f>
        <x:v>4154</x:v>
      </x:c>
      <x:c r="E11" s="25" t="n">
        <x:f>'Operating model'!E24</x:f>
        <x:v>5135</x:v>
      </x:c>
      <x:c r="F11" s="26" t="n">
        <x:f>'Operating model'!F24</x:f>
        <x:v>6120</x:v>
      </x:c>
      <x:c r="G11" s="26" t="n">
        <x:f>'Operating model'!G24</x:f>
        <x:v>7210</x:v>
      </x:c>
      <x:c r="H11" s="26" t="n">
        <x:f>'Operating model'!H24</x:f>
        <x:v>8568</x:v>
      </x:c>
      <x:c r="I11" s="26" t="n">
        <x:f>'Operating model'!I24</x:f>
        <x:v>10138</x:v>
      </x:c>
      <x:c r="J11" s="26" t="n">
        <x:f>'Operating model'!J24</x:f>
        <x:v>11932</x:v>
      </x:c>
      <x:c r="K11" s="3"/>
      <x:c r="L11" s="3"/>
      <x:c r="M11" s="3"/>
      <x:c r="N11" s="3"/>
      <x:c r="O11" s="3"/>
      <x:c r="P11" s="3"/>
      <x:c r="Q11" s="3"/>
      <x:c r="R11" s="3"/>
      <x:c r="S11" s="3"/>
    </x:row>
    <x:row r="12" ht="21" customHeight="1">
      <x:c r="A12" s="3"/>
      <x:c r="B12" s="3"/>
      <x:c r="C12" s="70" t="str">
        <x:v>Government launch services</x:v>
      </x:c>
      <x:c r="D12" s="25" t="n">
        <x:f>'Operating model'!D25</x:f>
        <x:v>1955</x:v>
      </x:c>
      <x:c r="E12" s="25" t="n">
        <x:f>'Operating model'!E25</x:f>
        <x:v>2288</x:v>
      </x:c>
      <x:c r="F12" s="26" t="n">
        <x:f>'Operating model'!F25</x:f>
        <x:v>2760</x:v>
      </x:c>
      <x:c r="G12" s="26" t="n">
        <x:f>'Operating model'!G25</x:f>
        <x:v>3360</x:v>
      </x:c>
      <x:c r="H12" s="26" t="n">
        <x:f>'Operating model'!H25</x:f>
        <x:v>4000</x:v>
      </x:c>
      <x:c r="I12" s="26" t="n">
        <x:f>'Operating model'!I25</x:f>
        <x:v>4784</x:v>
      </x:c>
      <x:c r="J12" s="26" t="n">
        <x:f>'Operating model'!J25</x:f>
        <x:v>5724</x:v>
      </x:c>
      <x:c r="K12" s="3"/>
      <x:c r="L12" s="3"/>
      <x:c r="M12" s="3"/>
      <x:c r="N12" s="3"/>
      <x:c r="O12" s="3"/>
      <x:c r="P12" s="3"/>
      <x:c r="Q12" s="3"/>
      <x:c r="R12" s="3"/>
      <x:c r="S12" s="3"/>
    </x:row>
    <x:row r="13" ht="21" customHeight="1">
      <x:c r="A13" s="3"/>
      <x:c r="B13" s="3"/>
      <x:c r="C13" s="70" t="str">
        <x:v>Heavy-lift launch services</x:v>
      </x:c>
      <x:c r="D13" s="25" t="n">
        <x:f>'Operating model'!D26</x:f>
        <x:v>840</x:v>
      </x:c>
      <x:c r="E13" s="25" t="n">
        <x:f>'Operating model'!E26</x:f>
        <x:v>1160</x:v>
      </x:c>
      <x:c r="F13" s="26" t="n">
        <x:f>'Operating model'!F26</x:f>
        <x:v>1800</x:v>
      </x:c>
      <x:c r="G13" s="26" t="n">
        <x:f>'Operating model'!G26</x:f>
        <x:v>2790</x:v>
      </x:c>
      <x:c r="H13" s="26" t="n">
        <x:f>'Operating model'!H26</x:f>
        <x:v>3840</x:v>
      </x:c>
      <x:c r="I13" s="26" t="n">
        <x:f>'Operating model'!I26</x:f>
        <x:v>4950</x:v>
      </x:c>
      <x:c r="J13" s="26" t="n">
        <x:f>'Operating model'!J26</x:f>
        <x:v>6120</x:v>
      </x:c>
      <x:c r="K13" s="3"/>
      <x:c r="L13" s="3"/>
      <x:c r="M13" s="3"/>
      <x:c r="N13" s="3"/>
      <x:c r="O13" s="3"/>
      <x:c r="P13" s="3"/>
      <x:c r="Q13" s="3"/>
      <x:c r="R13" s="3"/>
      <x:c r="S13" s="3"/>
    </x:row>
    <x:row r="14" ht="21" customHeight="1">
      <x:c r="A14" s="3"/>
      <x:c r="B14" s="3"/>
      <x:c r="C14" s="70" t="str">
        <x:v>Satellite subscription services</x:v>
      </x:c>
      <x:c r="D14" s="25" t="n">
        <x:f>'Operating model'!D42</x:f>
        <x:v>4309.2</x:v>
      </x:c>
      <x:c r="E14" s="25" t="n">
        <x:f>'Operating model'!E42</x:f>
        <x:v>6291.5328</x:v>
      </x:c>
      <x:c r="F14" s="26" t="n">
        <x:f>'Operating model'!F42</x:f>
        <x:v>8739.833471999998</x:v>
      </x:c>
      <x:c r="G14" s="26" t="n">
        <x:f>'Operating model'!G42</x:f>
        <x:v>11431.788226559996</x:v>
      </x:c>
      <x:c r="H14" s="26" t="n">
        <x:f>'Operating model'!H42</x:f>
        <x:v>14170.327286169595</x:v>
      </x:c>
      <x:c r="I14" s="26" t="n">
        <x:f>'Operating model'!I42</x:f>
        <x:v>16997.440651591678</x:v>
      </x:c>
      <x:c r="J14" s="26" t="n">
        <x:f>'Operating model'!J42</x:f>
        <x:v>19842.693783914743</x:v>
      </x:c>
      <x:c r="K14" s="3"/>
      <x:c r="L14" s="3"/>
      <x:c r="M14" s="3"/>
      <x:c r="N14" s="3"/>
      <x:c r="O14" s="3"/>
      <x:c r="P14" s="3"/>
      <x:c r="Q14" s="3"/>
      <x:c r="R14" s="3"/>
      <x:c r="S14" s="3"/>
    </x:row>
    <x:row r="15" ht="21" customHeight="1">
      <x:c r="A15" s="3"/>
      <x:c r="B15" s="3"/>
      <x:c r="C15" s="70" t="str">
        <x:v>Terminals and equipment</x:v>
      </x:c>
      <x:c r="D15" s="25" t="n">
        <x:f>'Operating model'!D43</x:f>
        <x:v>720</x:v>
      </x:c>
      <x:c r="E15" s="25" t="n">
        <x:f>'Operating model'!E43</x:f>
        <x:v>936</x:v>
      </x:c>
      <x:c r="F15" s="26" t="n">
        <x:f>'Operating model'!F43</x:f>
        <x:v>1140</x:v>
      </x:c>
      <x:c r="G15" s="26" t="n">
        <x:f>'Operating model'!G43</x:f>
        <x:v>1221</x:v>
      </x:c>
      <x:c r="H15" s="26" t="n">
        <x:f>'Operating model'!H43</x:f>
        <x:v>1296</x:v>
      </x:c>
      <x:c r="I15" s="26" t="n">
        <x:f>'Operating model'!I43</x:f>
        <x:v>1400</x:v>
      </x:c>
      <x:c r="J15" s="26" t="n">
        <x:f>'Operating model'!J43</x:f>
        <x:v>1428</x:v>
      </x:c>
      <x:c r="K15" s="3"/>
      <x:c r="L15" s="3"/>
      <x:c r="M15" s="3"/>
      <x:c r="N15" s="3"/>
      <x:c r="O15" s="3"/>
      <x:c r="P15" s="3"/>
      <x:c r="Q15" s="3"/>
      <x:c r="R15" s="3"/>
      <x:c r="S15" s="3"/>
    </x:row>
    <x:row r="16" ht="21" customHeight="1">
      <x:c r="A16" s="3"/>
      <x:c r="B16" s="3"/>
      <x:c r="C16" s="70" t="str">
        <x:v>Government programs</x:v>
      </x:c>
      <x:c r="D16" s="25" t="n">
        <x:f>'Operating model'!D51</x:f>
        <x:v>1200</x:v>
      </x:c>
      <x:c r="E16" s="25" t="n">
        <x:f>'Operating model'!E51</x:f>
        <x:v>1440</x:v>
      </x:c>
      <x:c r="F16" s="26" t="n">
        <x:f>'Operating model'!F51</x:f>
        <x:v>1680</x:v>
      </x:c>
      <x:c r="G16" s="26" t="n">
        <x:f>'Operating model'!G51</x:f>
        <x:v>1920</x:v>
      </x:c>
      <x:c r="H16" s="26" t="n">
        <x:f>'Operating model'!H51</x:f>
        <x:v>2160</x:v>
      </x:c>
      <x:c r="I16" s="26" t="n">
        <x:f>'Operating model'!I51</x:f>
        <x:v>2400</x:v>
      </x:c>
      <x:c r="J16" s="26" t="n">
        <x:f>'Operating model'!J51</x:f>
        <x:v>2640</x:v>
      </x:c>
      <x:c r="K16" s="3"/>
      <x:c r="L16" s="3"/>
      <x:c r="M16" s="3"/>
      <x:c r="N16" s="3"/>
      <x:c r="O16" s="3"/>
      <x:c r="P16" s="3"/>
      <x:c r="Q16" s="3"/>
      <x:c r="R16" s="3"/>
      <x:c r="S16" s="3"/>
    </x:row>
    <x:row r="17" ht="25" customHeight="1">
      <x:c r="A17" s="3"/>
      <x:c r="B17" s="3"/>
      <x:c r="C17" s="61" t="str">
        <x:v>Total revenue</x:v>
      </x:c>
      <x:c r="D17" s="63" t="n">
        <x:f>SUM(D11:D16)</x:f>
        <x:v>13178.2</x:v>
      </x:c>
      <x:c r="E17" s="63" t="n">
        <x:f>SUM(E11:E16)</x:f>
        <x:v>17250.5328</x:v>
      </x:c>
      <x:c r="F17" s="63" t="n">
        <x:f>SUM(F11:F16)</x:f>
        <x:v>22239.833472</x:v>
      </x:c>
      <x:c r="G17" s="63" t="n">
        <x:f>SUM(G11:G16)</x:f>
        <x:v>27932.78822656</x:v>
      </x:c>
      <x:c r="H17" s="63" t="n">
        <x:f>SUM(H11:H16)</x:f>
        <x:v>34034.327286169595</x:v>
      </x:c>
      <x:c r="I17" s="63" t="n">
        <x:f>SUM(I11:I16)</x:f>
        <x:v>40669.44065159168</x:v>
      </x:c>
      <x:c r="J17" s="63" t="n">
        <x:f>SUM(J11:J16)</x:f>
        <x:v>47686.69378391474</x:v>
      </x:c>
      <x:c r="K17" s="3"/>
      <x:c r="L17" s="3"/>
      <x:c r="M17" s="3"/>
      <x:c r="N17" s="3"/>
      <x:c r="O17" s="3"/>
      <x:c r="P17" s="3"/>
      <x:c r="Q17" s="3"/>
      <x:c r="R17" s="3"/>
      <x:c r="S17" s="3"/>
    </x:row>
    <x:row r="18" ht="19" customHeight="1">
      <x:c r="A18" s="3"/>
      <x:c r="B18" s="3"/>
      <x:c r="C18" s="7" t="str">
        <x:v>Revenue growth</x:v>
      </x:c>
      <x:c r="D18" s="67" t="str">
        <x:f>"n.a."</x:f>
        <x:v>n.a.</x:v>
      </x:c>
      <x:c r="E18" s="67" t="n">
        <x:f>IF(D17=0,"n.a.",E17/D17-1)</x:f>
        <x:v>0.3090204124994309</x:v>
      </x:c>
      <x:c r="F18" s="68" t="n">
        <x:f>IF(E17=0,"n.a.",F17/E17-1)</x:f>
        <x:v>0.2892258882577816</x:v>
      </x:c>
      <x:c r="G18" s="68" t="n">
        <x:f>IF(F17=0,"n.a.",G17/F17-1)</x:f>
        <x:v>0.25598009813011613</x:v>
      </x:c>
      <x:c r="H18" s="68" t="n">
        <x:f>IF(G17=0,"n.a.",H17/G17-1)</x:f>
        <x:v>0.21843644859656108</x:v>
      </x:c>
      <x:c r="I18" s="68" t="n">
        <x:f>IF(H17=0,"n.a.",I17/H17-1)</x:f>
        <x:v>0.19495356290231047</x:v>
      </x:c>
      <x:c r="J18" s="68" t="n">
        <x:f>IF(I17=0,"n.a.",J17/I17-1)</x:f>
        <x:v>0.17254363521836225</x:v>
      </x:c>
      <x:c r="K18" s="3"/>
      <x:c r="L18" s="3"/>
      <x:c r="M18" s="3"/>
      <x:c r="N18" s="3"/>
      <x:c r="O18" s="3"/>
      <x:c r="P18" s="3"/>
      <x:c r="Q18" s="3"/>
      <x:c r="R18" s="3"/>
      <x:c r="S18" s="3"/>
    </x:row>
    <x:row r="19" ht="21" customHeight="1">
      <x:c r="A19" s="3"/>
      <x:c r="B19" s="3"/>
      <x:c r="C19" s="3"/>
      <x:c r="D19" s="25"/>
      <x:c r="E19" s="25"/>
      <x:c r="F19" s="26"/>
      <x:c r="G19" s="26"/>
      <x:c r="H19" s="26"/>
      <x:c r="I19" s="26"/>
      <x:c r="J19" s="26"/>
      <x:c r="K19" s="3"/>
      <x:c r="L19" s="3"/>
      <x:c r="M19" s="3"/>
      <x:c r="N19" s="3"/>
      <x:c r="O19" s="3"/>
      <x:c r="P19" s="3"/>
      <x:c r="Q19" s="3"/>
      <x:c r="R19" s="3"/>
      <x:c r="S19" s="3"/>
    </x:row>
    <x:row r="20" ht="24" customHeight="1">
      <x:c r="A20" s="3"/>
      <x:c r="B20" s="3"/>
      <x:c r="C20" s="34" t="str">
        <x:v>COST OF REVENUE</x:v>
      </x:c>
      <x:c r="D20" s="35"/>
      <x:c r="E20" s="35"/>
      <x:c r="F20" s="35"/>
      <x:c r="G20" s="35"/>
      <x:c r="H20" s="35"/>
      <x:c r="I20" s="35"/>
      <x:c r="J20" s="35"/>
      <x:c r="K20" s="3"/>
      <x:c r="L20" s="3"/>
      <x:c r="M20" s="3"/>
      <x:c r="N20" s="3"/>
      <x:c r="O20" s="3"/>
      <x:c r="P20" s="3"/>
      <x:c r="Q20" s="3"/>
      <x:c r="R20" s="3"/>
      <x:c r="S20" s="3"/>
    </x:row>
    <x:row r="21" ht="21" customHeight="1">
      <x:c r="A21" s="3"/>
      <x:c r="B21" s="3"/>
      <x:c r="C21" s="70" t="str">
        <x:v>Launch operations</x:v>
      </x:c>
      <x:c r="D21" s="25" t="n">
        <x:f>-'Operating model'!D28</x:f>
        <x:v>-3640</x:v>
      </x:c>
      <x:c r="E21" s="25" t="n">
        <x:f>-'Operating model'!E28</x:f>
        <x:v>-4406</x:v>
      </x:c>
      <x:c r="F21" s="26" t="n">
        <x:f>-'Operating model'!F28</x:f>
        <x:v>-5360</x:v>
      </x:c>
      <x:c r="G21" s="26" t="n">
        <x:f>-'Operating model'!G28</x:f>
        <x:v>-6432</x:v>
      </x:c>
      <x:c r="H21" s="26" t="n">
        <x:f>-'Operating model'!H28</x:f>
        <x:v>-7414</x:v>
      </x:c>
      <x:c r="I21" s="26" t="n">
        <x:f>-'Operating model'!I28</x:f>
        <x:v>-8427</x:v>
      </x:c>
      <x:c r="J21" s="26" t="n">
        <x:f>-'Operating model'!J28</x:f>
        <x:v>-9452</x:v>
      </x:c>
      <x:c r="K21" s="3"/>
      <x:c r="L21" s="3"/>
      <x:c r="M21" s="3"/>
      <x:c r="N21" s="3"/>
      <x:c r="O21" s="3"/>
      <x:c r="P21" s="3"/>
      <x:c r="Q21" s="3"/>
      <x:c r="R21" s="3"/>
      <x:c r="S21" s="3"/>
    </x:row>
    <x:row r="22" ht="21" customHeight="1">
      <x:c r="A22" s="3"/>
      <x:c r="B22" s="3"/>
      <x:c r="C22" s="70" t="str">
        <x:v>Connectivity network</x:v>
      </x:c>
      <x:c r="D22" s="25" t="n">
        <x:f>-'Operating model'!D44</x:f>
        <x:v>-1496.8799999999999</x:v>
      </x:c>
      <x:c r="E22" s="25" t="n">
        <x:f>-'Operating model'!E44</x:f>
        <x:v>-2141.7983999999997</x:v>
      </x:c>
      <x:c r="F22" s="26" t="n">
        <x:f>-'Operating model'!F44</x:f>
        <x:v>-2913.277824</x:v>
      </x:c>
      <x:c r="G22" s="26" t="n">
        <x:f>-'Operating model'!G44</x:f>
        <x:v>-3727.757030399999</x:v>
      </x:c>
      <x:c r="H22" s="26" t="n">
        <x:f>-'Operating model'!H44</x:f>
        <x:v>-4515.818585702399</x:v>
      </x:c>
      <x:c r="I22" s="26" t="n">
        <x:f>-'Operating model'!I44</x:f>
        <x:v>-5288.092647161856</x:v>
      </x:c>
      <x:c r="J22" s="26" t="n">
        <x:f>-'Operating model'!J44</x:f>
        <x:v>-6019.693619839304</x:v>
      </x:c>
      <x:c r="K22" s="3"/>
      <x:c r="L22" s="3"/>
      <x:c r="M22" s="3"/>
      <x:c r="N22" s="3"/>
      <x:c r="O22" s="3"/>
      <x:c r="P22" s="3"/>
      <x:c r="Q22" s="3"/>
      <x:c r="R22" s="3"/>
      <x:c r="S22" s="3"/>
    </x:row>
    <x:row r="23" ht="21" customHeight="1">
      <x:c r="A23" s="3"/>
      <x:c r="B23" s="3"/>
      <x:c r="C23" s="70" t="str">
        <x:v>Terminal manufacturing</x:v>
      </x:c>
      <x:c r="D23" s="25" t="n">
        <x:f>-'Operating model'!D45</x:f>
        <x:v>-756</x:v>
      </x:c>
      <x:c r="E23" s="25" t="n">
        <x:f>-'Operating model'!E45</x:f>
        <x:v>-960</x:v>
      </x:c>
      <x:c r="F23" s="26" t="n">
        <x:f>-'Operating model'!F45</x:f>
        <x:v>-1110</x:v>
      </x:c>
      <x:c r="G23" s="26" t="n">
        <x:f>-'Operating model'!G45</x:f>
        <x:v>-1155</x:v>
      </x:c>
      <x:c r="H23" s="26" t="n">
        <x:f>-'Operating model'!H45</x:f>
        <x:v>-1188</x:v>
      </x:c>
      <x:c r="I23" s="26" t="n">
        <x:f>-'Operating model'!I45</x:f>
        <x:v>-1240</x:v>
      </x:c>
      <x:c r="J23" s="26" t="n">
        <x:f>-'Operating model'!J45</x:f>
        <x:v>-1218</x:v>
      </x:c>
      <x:c r="K23" s="3"/>
      <x:c r="L23" s="3"/>
      <x:c r="M23" s="3"/>
      <x:c r="N23" s="3"/>
      <x:c r="O23" s="3"/>
      <x:c r="P23" s="3"/>
      <x:c r="Q23" s="3"/>
      <x:c r="R23" s="3"/>
      <x:c r="S23" s="3"/>
    </x:row>
    <x:row r="24" ht="21" customHeight="1">
      <x:c r="A24" s="3"/>
      <x:c r="B24" s="3"/>
      <x:c r="C24" s="70" t="str">
        <x:v>Program delivery</x:v>
      </x:c>
      <x:c r="D24" s="25" t="n">
        <x:f>-'Operating model'!D52</x:f>
        <x:v>-780</x:v>
      </x:c>
      <x:c r="E24" s="25" t="n">
        <x:f>-'Operating model'!E52</x:f>
        <x:v>-936</x:v>
      </x:c>
      <x:c r="F24" s="26" t="n">
        <x:f>-'Operating model'!F52</x:f>
        <x:v>-1092</x:v>
      </x:c>
      <x:c r="G24" s="26" t="n">
        <x:f>-'Operating model'!G52</x:f>
        <x:v>-1248</x:v>
      </x:c>
      <x:c r="H24" s="26" t="n">
        <x:f>-'Operating model'!H52</x:f>
        <x:v>-1404</x:v>
      </x:c>
      <x:c r="I24" s="26" t="n">
        <x:f>-'Operating model'!I52</x:f>
        <x:v>-1560</x:v>
      </x:c>
      <x:c r="J24" s="26" t="n">
        <x:f>-'Operating model'!J52</x:f>
        <x:v>-1716</x:v>
      </x:c>
      <x:c r="K24" s="3"/>
      <x:c r="L24" s="3"/>
      <x:c r="M24" s="3"/>
      <x:c r="N24" s="3"/>
      <x:c r="O24" s="3"/>
      <x:c r="P24" s="3"/>
      <x:c r="Q24" s="3"/>
      <x:c r="R24" s="3"/>
      <x:c r="S24" s="3"/>
    </x:row>
    <x:row r="25" ht="25" customHeight="1">
      <x:c r="A25" s="3"/>
      <x:c r="B25" s="3"/>
      <x:c r="C25" s="54" t="str">
        <x:v>Total cost of revenue</x:v>
      </x:c>
      <x:c r="D25" s="64" t="n">
        <x:f>SUM(D21:D24)</x:f>
        <x:v>-6672.88</x:v>
      </x:c>
      <x:c r="E25" s="64" t="n">
        <x:f>SUM(E21:E24)</x:f>
        <x:v>-8443.7984</x:v>
      </x:c>
      <x:c r="F25" s="64" t="n">
        <x:f>SUM(F21:F24)</x:f>
        <x:v>-10475.277824</x:v>
      </x:c>
      <x:c r="G25" s="64" t="n">
        <x:f>SUM(G21:G24)</x:f>
        <x:v>-12562.7570304</x:v>
      </x:c>
      <x:c r="H25" s="64" t="n">
        <x:f>SUM(H21:H24)</x:f>
        <x:v>-14521.8185857024</x:v>
      </x:c>
      <x:c r="I25" s="64" t="n">
        <x:f>SUM(I21:I24)</x:f>
        <x:v>-16515.092647161855</x:v>
      </x:c>
      <x:c r="J25" s="64" t="n">
        <x:f>SUM(J21:J24)</x:f>
        <x:v>-18405.693619839305</x:v>
      </x:c>
      <x:c r="K25" s="3"/>
      <x:c r="L25" s="3"/>
      <x:c r="M25" s="3"/>
      <x:c r="N25" s="3"/>
      <x:c r="O25" s="3"/>
      <x:c r="P25" s="3"/>
      <x:c r="Q25" s="3"/>
      <x:c r="R25" s="3"/>
      <x:c r="S25" s="3"/>
    </x:row>
    <x:row r="26" ht="25" customHeight="1">
      <x:c r="A26" s="3"/>
      <x:c r="B26" s="3"/>
      <x:c r="C26" s="54" t="str">
        <x:v>Gross profit</x:v>
      </x:c>
      <x:c r="D26" s="64" t="n">
        <x:f>SUM(D17,D25)</x:f>
        <x:v>6505.320000000001</x:v>
      </x:c>
      <x:c r="E26" s="64" t="n">
        <x:f>SUM(E17,E25)</x:f>
        <x:v>8806.734400000001</x:v>
      </x:c>
      <x:c r="F26" s="64" t="n">
        <x:f>SUM(F17,F25)</x:f>
        <x:v>11764.555647999998</x:v>
      </x:c>
      <x:c r="G26" s="64" t="n">
        <x:f>SUM(G17,G25)</x:f>
        <x:v>15370.031196159998</x:v>
      </x:c>
      <x:c r="H26" s="64" t="n">
        <x:f>SUM(H17,H25)</x:f>
        <x:v>19512.508700467195</x:v>
      </x:c>
      <x:c r="I26" s="64" t="n">
        <x:f>SUM(I17,I25)</x:f>
        <x:v>24154.348004429823</x:v>
      </x:c>
      <x:c r="J26" s="64" t="n">
        <x:f>SUM(J17,J25)</x:f>
        <x:v>29281.000164075438</x:v>
      </x:c>
      <x:c r="K26" s="3"/>
      <x:c r="L26" s="3"/>
      <x:c r="M26" s="3"/>
      <x:c r="N26" s="3"/>
      <x:c r="O26" s="3"/>
      <x:c r="P26" s="3"/>
      <x:c r="Q26" s="3"/>
      <x:c r="R26" s="3"/>
      <x:c r="S26" s="3"/>
    </x:row>
    <x:row r="27" ht="19" customHeight="1">
      <x:c r="A27" s="3"/>
      <x:c r="B27" s="3"/>
      <x:c r="C27" s="7" t="str">
        <x:v>Gross margin</x:v>
      </x:c>
      <x:c r="D27" s="67" t="n">
        <x:f>IF(D17=0,"n.a.",D26/D17)</x:f>
        <x:v>0.49364253084639786</x:v>
      </x:c>
      <x:c r="E27" s="67" t="n">
        <x:f>IF(E17=0,"n.a.",E26/E17)</x:f>
        <x:v>0.5105195591408053</x:v>
      </x:c>
      <x:c r="F27" s="68" t="n">
        <x:f>IF(F17=0,"n.a.",F26/F17)</x:f>
        <x:v>0.5289857796287729</x:v>
      </x:c>
      <x:c r="G27" s="68" t="n">
        <x:f>IF(G17=0,"n.a.",G26/G17)</x:f>
        <x:v>0.550250518190137</x:v>
      </x:c>
      <x:c r="H27" s="68" t="n">
        <x:f>IF(H17=0,"n.a.",H26/H17)</x:f>
        <x:v>0.5733184774419332</x:v>
      </x:c>
      <x:c r="I27" s="68" t="n">
        <x:f>IF(I17=0,"n.a.",I26/I17)</x:f>
        <x:v>0.5939188643226273</x:v>
      </x:c>
      <x:c r="J27" s="68" t="n">
        <x:f>IF(J17=0,"n.a.",J26/J17)</x:f>
        <x:v>0.6140287329785955</x:v>
      </x:c>
      <x:c r="K27" s="3"/>
      <x:c r="L27" s="3"/>
      <x:c r="M27" s="3"/>
      <x:c r="N27" s="3"/>
      <x:c r="O27" s="3"/>
      <x:c r="P27" s="3"/>
      <x:c r="Q27" s="3"/>
      <x:c r="R27" s="3"/>
      <x:c r="S27" s="3"/>
    </x:row>
    <x:row r="28" ht="21" customHeight="1">
      <x:c r="A28" s="3"/>
      <x:c r="B28" s="3"/>
      <x:c r="C28" s="3"/>
      <x:c r="D28" s="25"/>
      <x:c r="E28" s="25"/>
      <x:c r="F28" s="26"/>
      <x:c r="G28" s="26"/>
      <x:c r="H28" s="26"/>
      <x:c r="I28" s="26"/>
      <x:c r="J28" s="26"/>
      <x:c r="K28" s="3"/>
      <x:c r="L28" s="3"/>
      <x:c r="M28" s="3"/>
      <x:c r="N28" s="3"/>
      <x:c r="O28" s="3"/>
      <x:c r="P28" s="3"/>
      <x:c r="Q28" s="3"/>
      <x:c r="R28" s="3"/>
      <x:c r="S28" s="3"/>
    </x:row>
    <x:row r="29" ht="21" customHeight="1">
      <x:c r="A29" s="3"/>
      <x:c r="B29" s="3"/>
      <x:c r="C29" s="70" t="str">
        <x:v>Research and development</x:v>
      </x:c>
      <x:c r="D29" s="25" t="n">
        <x:f>-('Operating model'!D55+D17*'Operating model'!D56)</x:f>
        <x:v>-2458.91</x:v>
      </x:c>
      <x:c r="E29" s="25" t="n">
        <x:f>-('Operating model'!E55+E17*'Operating model'!E56)</x:f>
        <x:v>-2762.52664</x:v>
      </x:c>
      <x:c r="F29" s="26" t="n">
        <x:f>-('Operating model'!F55+F17*'Operating model'!F56)</x:f>
        <x:v>-3211.9916736</x:v>
      </x:c>
      <x:c r="G29" s="26" t="n">
        <x:f>-('Operating model'!G55+G17*'Operating model'!G56)</x:f>
        <x:v>-3696.6394113280003</x:v>
      </x:c>
      <x:c r="H29" s="26" t="n">
        <x:f>-('Operating model'!H55+H17*'Operating model'!H56)</x:f>
        <x:v>-4201.71636430848</x:v>
      </x:c>
      <x:c r="I29" s="26" t="n">
        <x:f>-('Operating model'!I55+I17*'Operating model'!I56)</x:f>
        <x:v>-4733.472032579584</x:v>
      </x:c>
      <x:c r="J29" s="26" t="n">
        <x:f>-('Operating model'!J55+J17*'Operating model'!J56)</x:f>
        <x:v>-5284.334689195737</x:v>
      </x:c>
      <x:c r="K29" s="3"/>
      <x:c r="L29" s="3"/>
      <x:c r="M29" s="3"/>
      <x:c r="N29" s="3"/>
      <x:c r="O29" s="3"/>
      <x:c r="P29" s="3"/>
      <x:c r="Q29" s="3"/>
      <x:c r="R29" s="3"/>
      <x:c r="S29" s="3"/>
    </x:row>
    <x:row r="30" ht="21" customHeight="1">
      <x:c r="A30" s="3"/>
      <x:c r="B30" s="3"/>
      <x:c r="C30" s="70" t="str">
        <x:v>Selling, general and administrative</x:v>
      </x:c>
      <x:c r="D30" s="25" t="n">
        <x:f>-('Operating model'!D57+D17*'Operating model'!D58)</x:f>
        <x:v>-1440.692</x:v>
      </x:c>
      <x:c r="E30" s="25" t="n">
        <x:f>-('Operating model'!E57+E17*'Operating model'!E58)</x:f>
        <x:v>-1735.031968</x:v>
      </x:c>
      <x:c r="F30" s="26" t="n">
        <x:f>-('Operating model'!F57+F17*'Operating model'!F58)</x:f>
        <x:v>-2114.3900083199997</x:v>
      </x:c>
      <x:c r="G30" s="26" t="n">
        <x:f>-('Operating model'!G57+G17*'Operating model'!G58)</x:f>
        <x:v>-2525.9672935935996</x:v>
      </x:c>
      <x:c r="H30" s="26" t="n">
        <x:f>-('Operating model'!H57+H17*'Operating model'!H58)</x:f>
        <x:v>-2962.059637170176</x:v>
      </x:c>
      <x:c r="I30" s="26" t="n">
        <x:f>-('Operating model'!I57+I17*'Operating model'!I58)</x:f>
        <x:v>-3440.1664390955007</x:v>
      </x:c>
      <x:c r="J30" s="26" t="n">
        <x:f>-('Operating model'!J57+J17*'Operating model'!J58)</x:f>
        <x:v>-3941.2016270348845</x:v>
      </x:c>
      <x:c r="K30" s="3"/>
      <x:c r="L30" s="3"/>
      <x:c r="M30" s="3"/>
      <x:c r="N30" s="3"/>
      <x:c r="O30" s="3"/>
      <x:c r="P30" s="3"/>
      <x:c r="Q30" s="3"/>
      <x:c r="R30" s="3"/>
      <x:c r="S30" s="3"/>
    </x:row>
    <x:row r="31" ht="25" customHeight="1">
      <x:c r="A31" s="3"/>
      <x:c r="B31" s="3"/>
      <x:c r="C31" s="61" t="str">
        <x:v>EBITDA</x:v>
      </x:c>
      <x:c r="D31" s="63" t="n">
        <x:f>SUM(D26,D29:D30)</x:f>
        <x:v>2605.7180000000008</x:v>
      </x:c>
      <x:c r="E31" s="63" t="n">
        <x:f>SUM(E26,E29:E30)</x:f>
        <x:v>4309.175792000001</x:v>
      </x:c>
      <x:c r="F31" s="63" t="n">
        <x:f>SUM(F26,F29:F30)</x:f>
        <x:v>6438.173966079998</x:v>
      </x:c>
      <x:c r="G31" s="63" t="n">
        <x:f>SUM(G26,G29:G30)</x:f>
        <x:v>9147.424491238398</x:v>
      </x:c>
      <x:c r="H31" s="63" t="n">
        <x:f>SUM(H26,H29:H30)</x:f>
        <x:v>12348.73269898854</x:v>
      </x:c>
      <x:c r="I31" s="63" t="n">
        <x:f>SUM(I26,I29:I30)</x:f>
        <x:v>15980.709532754738</x:v>
      </x:c>
      <x:c r="J31" s="63" t="n">
        <x:f>SUM(J26,J29:J30)</x:f>
        <x:v>20055.463847844818</x:v>
      </x:c>
      <x:c r="K31" s="3"/>
      <x:c r="L31" s="3"/>
      <x:c r="M31" s="3"/>
      <x:c r="N31" s="3"/>
      <x:c r="O31" s="3"/>
      <x:c r="P31" s="3"/>
      <x:c r="Q31" s="3"/>
      <x:c r="R31" s="3"/>
      <x:c r="S31" s="3"/>
    </x:row>
    <x:row r="32" ht="19" customHeight="1">
      <x:c r="A32" s="3"/>
      <x:c r="B32" s="3"/>
      <x:c r="C32" s="7" t="str">
        <x:v>EBITDA margin</x:v>
      </x:c>
      <x:c r="D32" s="67" t="n">
        <x:f>IF(D17=0,"n.a.",D31/D17)</x:f>
        <x:v>0.19772943194062928</x:v>
      </x:c>
      <x:c r="E32" s="67" t="n">
        <x:f>IF(E17=0,"n.a.",E31/E17)</x:f>
        <x:v>0.24979957674118916</x:v>
      </x:c>
      <x:c r="F32" s="68" t="n">
        <x:f>IF(F17=0,"n.a.",F31/F17)</x:f>
        <x:v>0.28948840710456186</x:v>
      </x:c>
      <x:c r="G32" s="68" t="n">
        <x:f>IF(G17=0,"n.a.",G31/G17)</x:f>
        <x:v>0.3274798210992963</x:v>
      </x:c>
      <x:c r="H32" s="68" t="n">
        <x:f>IF(H17=0,"n.a.",H31/H17)</x:f>
        <x:v>0.3628316962212046</x:v>
      </x:c>
      <x:c r="I32" s="68" t="n">
        <x:f>IF(I17=0,"n.a.",I31/I17)</x:f>
        <x:v>0.39294146358340193</x:v>
      </x:c>
      <x:c r="J32" s="68" t="n">
        <x:f>IF(J17=0,"n.a.",J31/J17)</x:f>
        <x:v>0.42056729574759805</x:v>
      </x:c>
      <x:c r="K32" s="3"/>
      <x:c r="L32" s="3"/>
      <x:c r="M32" s="3"/>
      <x:c r="N32" s="3"/>
      <x:c r="O32" s="3"/>
      <x:c r="P32" s="3"/>
      <x:c r="Q32" s="3"/>
      <x:c r="R32" s="3"/>
      <x:c r="S32" s="3"/>
    </x:row>
    <x:row r="33" ht="21" customHeight="1">
      <x:c r="A33" s="3"/>
      <x:c r="B33" s="3"/>
      <x:c r="C33" s="70" t="str">
        <x:v>Depreciation and amortization</x:v>
      </x:c>
      <x:c r="D33" s="25" t="n">
        <x:f>-'Capital &amp; debt'!D15</x:f>
        <x:v>-870</x:v>
      </x:c>
      <x:c r="E33" s="25" t="n">
        <x:f>-'Capital &amp; debt'!E15</x:f>
        <x:v>-1095.6</x:v>
      </x:c>
      <x:c r="F33" s="26" t="n">
        <x:f>-'Capital &amp; debt'!F15</x:f>
        <x:v>-1378.128</x:v>
      </x:c>
      <x:c r="G33" s="26" t="n">
        <x:f>-'Capital &amp; debt'!G15</x:f>
        <x:v>-1704.75264</x:v>
      </x:c>
      <x:c r="H33" s="26" t="n">
        <x:f>-'Capital &amp; debt'!H15</x:f>
        <x:v>-2058.1823231999997</x:v>
      </x:c>
      <x:c r="I33" s="26" t="n">
        <x:f>-'Capital &amp; debt'!I15</x:f>
        <x:v>-2435.2004444159998</x:v>
      </x:c>
      <x:c r="J33" s="26" t="n">
        <x:f>-'Capital &amp; debt'!J15</x:f>
        <x:v>-2832.9763910860797</x:v>
      </x:c>
      <x:c r="K33" s="3"/>
      <x:c r="L33" s="3"/>
      <x:c r="M33" s="3"/>
      <x:c r="N33" s="3"/>
      <x:c r="O33" s="3"/>
      <x:c r="P33" s="3"/>
      <x:c r="Q33" s="3"/>
      <x:c r="R33" s="3"/>
      <x:c r="S33" s="3"/>
    </x:row>
    <x:row r="34" ht="25" customHeight="1">
      <x:c r="A34" s="3"/>
      <x:c r="B34" s="3"/>
      <x:c r="C34" s="54" t="str">
        <x:v>Operating income (EBIT)</x:v>
      </x:c>
      <x:c r="D34" s="64" t="n">
        <x:f>SUM(D31,D33)</x:f>
        <x:v>1735.7180000000008</x:v>
      </x:c>
      <x:c r="E34" s="64" t="n">
        <x:f>SUM(E31,E33)</x:f>
        <x:v>3213.575792000001</x:v>
      </x:c>
      <x:c r="F34" s="64" t="n">
        <x:f>SUM(F31,F33)</x:f>
        <x:v>5060.045966079998</x:v>
      </x:c>
      <x:c r="G34" s="64" t="n">
        <x:f>SUM(G31,G33)</x:f>
        <x:v>7442.671851238399</x:v>
      </x:c>
      <x:c r="H34" s="64" t="n">
        <x:f>SUM(H31,H33)</x:f>
        <x:v>10290.550375788542</x:v>
      </x:c>
      <x:c r="I34" s="64" t="n">
        <x:f>SUM(I31,I33)</x:f>
        <x:v>13545.509088338738</x:v>
      </x:c>
      <x:c r="J34" s="64" t="n">
        <x:f>SUM(J31,J33)</x:f>
        <x:v>17222.48745675874</x:v>
      </x:c>
      <x:c r="K34" s="3"/>
      <x:c r="L34" s="3"/>
      <x:c r="M34" s="3"/>
      <x:c r="N34" s="3"/>
      <x:c r="O34" s="3"/>
      <x:c r="P34" s="3"/>
      <x:c r="Q34" s="3"/>
      <x:c r="R34" s="3"/>
      <x:c r="S34" s="3"/>
    </x:row>
    <x:row r="35" ht="19" customHeight="1">
      <x:c r="A35" s="3"/>
      <x:c r="B35" s="3"/>
      <x:c r="C35" s="7" t="str">
        <x:v>Operating margin</x:v>
      </x:c>
      <x:c r="D35" s="67" t="n">
        <x:f>IF(D17=0,"n.a.",D34/D17)</x:f>
        <x:v>0.13171131110470327</x:v>
      </x:c>
      <x:c r="E35" s="67" t="n">
        <x:f>IF(E17=0,"n.a.",E34/E17)</x:f>
        <x:v>0.18628849492695093</x:v>
      </x:c>
      <x:c r="F35" s="68" t="n">
        <x:f>IF(F17=0,"n.a.",F34/F17)</x:f>
        <x:v>0.2275217560621849</x:v>
      </x:c>
      <x:c r="G35" s="68" t="n">
        <x:f>IF(G17=0,"n.a.",G34/G17)</x:f>
        <x:v>0.26644929932778805</x:v>
      </x:c>
      <x:c r="H35" s="68" t="n">
        <x:f>IF(H17=0,"n.a.",H34/H17)</x:f>
        <x:v>0.3023579778516814</x:v>
      </x:c>
      <x:c r="I35" s="68" t="n">
        <x:f>IF(I17=0,"n.a.",I34/I17)</x:f>
        <x:v>0.333063569877463</x:v>
      </x:c>
      <x:c r="J35" s="68" t="n">
        <x:f>IF(J17=0,"n.a.",J34/J17)</x:f>
        <x:v>0.3611591848828924</x:v>
      </x:c>
      <x:c r="K35" s="3"/>
      <x:c r="L35" s="3"/>
      <x:c r="M35" s="3"/>
      <x:c r="N35" s="3"/>
      <x:c r="O35" s="3"/>
      <x:c r="P35" s="3"/>
      <x:c r="Q35" s="3"/>
      <x:c r="R35" s="3"/>
      <x:c r="S35" s="3"/>
    </x:row>
    <x:row r="36" ht="21" customHeight="1">
      <x:c r="A36" s="3"/>
      <x:c r="B36" s="3"/>
      <x:c r="C36" s="70" t="str">
        <x:v>Net interest expense</x:v>
      </x:c>
      <x:c r="D36" s="25" t="n">
        <x:f>-'Capital &amp; debt'!D30</x:f>
        <x:v>-160.50000000000003</x:v>
      </x:c>
      <x:c r="E36" s="25" t="n">
        <x:f>-'Capital &amp; debt'!E30</x:f>
        <x:v>-159.50000000000003</x:v>
      </x:c>
      <x:c r="F36" s="26" t="n">
        <x:f>-'Capital &amp; debt'!F30</x:f>
        <x:v>-144.50000000000003</x:v>
      </x:c>
      <x:c r="G36" s="26" t="n">
        <x:f>-'Capital &amp; debt'!G30</x:f>
        <x:v>-115.50000000000003</x:v>
      </x:c>
      <x:c r="H36" s="26" t="n">
        <x:f>-'Capital &amp; debt'!H30</x:f>
        <x:v>-72.50000000000003</x:v>
      </x:c>
      <x:c r="I36" s="26" t="n">
        <x:f>-'Capital &amp; debt'!I30</x:f>
        <x:v>-15.500000000000028</x:v>
      </x:c>
      <x:c r="J36" s="26" t="n">
        <x:f>-'Capital &amp; debt'!J30</x:f>
        <x:v>51.999999999999986</x:v>
      </x:c>
      <x:c r="K36" s="3"/>
      <x:c r="L36" s="3"/>
      <x:c r="M36" s="3"/>
      <x:c r="N36" s="3"/>
      <x:c r="O36" s="3"/>
      <x:c r="P36" s="3"/>
      <x:c r="Q36" s="3"/>
      <x:c r="R36" s="3"/>
      <x:c r="S36" s="3"/>
    </x:row>
    <x:row r="37" ht="25" customHeight="1">
      <x:c r="A37" s="3"/>
      <x:c r="B37" s="3"/>
      <x:c r="C37" s="54" t="str">
        <x:v>Income before taxes</x:v>
      </x:c>
      <x:c r="D37" s="64" t="n">
        <x:f>SUM(D34,D36)</x:f>
        <x:v>1575.2180000000008</x:v>
      </x:c>
      <x:c r="E37" s="64" t="n">
        <x:f>SUM(E34,E36)</x:f>
        <x:v>3054.075792000001</x:v>
      </x:c>
      <x:c r="F37" s="64" t="n">
        <x:f>SUM(F34,F36)</x:f>
        <x:v>4915.545966079998</x:v>
      </x:c>
      <x:c r="G37" s="64" t="n">
        <x:f>SUM(G34,G36)</x:f>
        <x:v>7327.171851238399</x:v>
      </x:c>
      <x:c r="H37" s="64" t="n">
        <x:f>SUM(H34,H36)</x:f>
        <x:v>10218.050375788542</x:v>
      </x:c>
      <x:c r="I37" s="64" t="n">
        <x:f>SUM(I34,I36)</x:f>
        <x:v>13530.009088338738</x:v>
      </x:c>
      <x:c r="J37" s="64" t="n">
        <x:f>SUM(J34,J36)</x:f>
        <x:v>17274.48745675874</x:v>
      </x:c>
      <x:c r="K37" s="3"/>
      <x:c r="L37" s="3"/>
      <x:c r="M37" s="3"/>
      <x:c r="N37" s="3"/>
      <x:c r="O37" s="3"/>
      <x:c r="P37" s="3"/>
      <x:c r="Q37" s="3"/>
      <x:c r="R37" s="3"/>
      <x:c r="S37" s="3"/>
    </x:row>
    <x:row r="38" ht="21" customHeight="1">
      <x:c r="A38" s="3"/>
      <x:c r="B38" s="3"/>
      <x:c r="C38" s="70" t="str">
        <x:v>Income tax expense</x:v>
      </x:c>
      <x:c r="D38" s="25" t="n">
        <x:f>-MAX(D37,0)*'Operating model'!D59</x:f>
        <x:v>-330.79578000000015</x:v>
      </x:c>
      <x:c r="E38" s="25" t="n">
        <x:f>-MAX(E37,0)*'Operating model'!E59</x:f>
        <x:v>-641.3559163200002</x:v>
      </x:c>
      <x:c r="F38" s="26" t="n">
        <x:f>-MAX(F37,0)*'Operating model'!F59</x:f>
        <x:v>-1032.2646528767996</x:v>
      </x:c>
      <x:c r="G38" s="26" t="n">
        <x:f>-MAX(G37,0)*'Operating model'!G59</x:f>
        <x:v>-1538.7060887600637</x:v>
      </x:c>
      <x:c r="H38" s="26" t="n">
        <x:f>-MAX(H37,0)*'Operating model'!H59</x:f>
        <x:v>-2145.790578915594</x:v>
      </x:c>
      <x:c r="I38" s="26" t="n">
        <x:f>-MAX(I37,0)*'Operating model'!I59</x:f>
        <x:v>-2841.301908551135</x:v>
      </x:c>
      <x:c r="J38" s="26" t="n">
        <x:f>-MAX(J37,0)*'Operating model'!J59</x:f>
        <x:v>-3627.642365919335</x:v>
      </x:c>
      <x:c r="K38" s="3"/>
      <x:c r="L38" s="3"/>
      <x:c r="M38" s="3"/>
      <x:c r="N38" s="3"/>
      <x:c r="O38" s="3"/>
      <x:c r="P38" s="3"/>
      <x:c r="Q38" s="3"/>
      <x:c r="R38" s="3"/>
      <x:c r="S38" s="3"/>
    </x:row>
    <x:row r="39" ht="25" customHeight="1">
      <x:c r="A39" s="3"/>
      <x:c r="B39" s="3"/>
      <x:c r="C39" s="61" t="str">
        <x:v>Net income</x:v>
      </x:c>
      <x:c r="D39" s="63" t="n">
        <x:f>SUM(D37:D38)</x:f>
        <x:v>1244.4222200000006</x:v>
      </x:c>
      <x:c r="E39" s="63" t="n">
        <x:f>SUM(E37:E38)</x:f>
        <x:v>2412.7198756800008</x:v>
      </x:c>
      <x:c r="F39" s="63" t="n">
        <x:f>SUM(F37:F38)</x:f>
        <x:v>3883.2813132031984</x:v>
      </x:c>
      <x:c r="G39" s="63" t="n">
        <x:f>SUM(G37:G38)</x:f>
        <x:v>5788.465762478335</x:v>
      </x:c>
      <x:c r="H39" s="63" t="n">
        <x:f>SUM(H37:H38)</x:f>
        <x:v>8072.259796872948</x:v>
      </x:c>
      <x:c r="I39" s="63" t="n">
        <x:f>SUM(I37:I38)</x:f>
        <x:v>10688.707179787603</x:v>
      </x:c>
      <x:c r="J39" s="63" t="n">
        <x:f>SUM(J37:J38)</x:f>
        <x:v>13646.845090839404</x:v>
      </x:c>
      <x:c r="K39" s="3"/>
      <x:c r="L39" s="3"/>
      <x:c r="M39" s="3"/>
      <x:c r="N39" s="3"/>
      <x:c r="O39" s="3"/>
      <x:c r="P39" s="3"/>
      <x:c r="Q39" s="3"/>
      <x:c r="R39" s="3"/>
      <x:c r="S39" s="3"/>
    </x:row>
    <x:row r="40" ht="19" customHeight="1">
      <x:c r="A40" s="3"/>
      <x:c r="B40" s="3"/>
      <x:c r="C40" s="7" t="str">
        <x:v>Net margin</x:v>
      </x:c>
      <x:c r="D40" s="67" t="n">
        <x:f>IF(D17=0,"n.a.",D39/D17)</x:f>
        <x:v>0.09443036378261072</x:v>
      </x:c>
      <x:c r="E40" s="67" t="n">
        <x:f>IF(E17=0,"n.a.",E39/E17)</x:f>
        <x:v>0.13986349892218986</x:v>
      </x:c>
      <x:c r="F40" s="68" t="n">
        <x:f>IF(F17=0,"n.a.",F39/F17)</x:f>
        <x:v>0.1746092801500631</x:v>
      </x:c>
      <x:c r="G40" s="68" t="n">
        <x:f>IF(G17=0,"n.a.",G39/G17)</x:f>
        <x:v>0.20722835527655453</x:v>
      </x:c>
      <x:c r="H40" s="68" t="n">
        <x:f>IF(H17=0,"n.a.",H39/H17)</x:f>
        <x:v>0.2371799427383788</x:v>
      </x:c>
      <x:c r="I40" s="68" t="n">
        <x:f>IF(I17=0,"n.a.",I39/I17)</x:f>
        <x:v>0.26281913418372227</x:v>
      </x:c>
      <x:c r="J40" s="68" t="n">
        <x:f>IF(J17=0,"n.a.",J39/J17)</x:f>
        <x:v>0.2861772122990552</x:v>
      </x:c>
      <x:c r="K40" s="3"/>
      <x:c r="L40" s="3"/>
      <x:c r="M40" s="3"/>
      <x:c r="N40" s="3"/>
      <x:c r="O40" s="3"/>
      <x:c r="P40" s="3"/>
      <x:c r="Q40" s="3"/>
      <x:c r="R40" s="3"/>
      <x:c r="S40" s="3"/>
    </x:row>
    <x:row r="41" ht="21" customHeight="1">
      <x:c r="A41" s="3"/>
      <x:c r="B41" s="3"/>
      <x:c r="C41" s="3"/>
      <x:c r="D41" s="25"/>
      <x:c r="E41" s="25"/>
      <x:c r="F41" s="26"/>
      <x:c r="G41" s="26"/>
      <x:c r="H41" s="26"/>
      <x:c r="I41" s="26"/>
      <x:c r="J41" s="26"/>
      <x:c r="K41" s="3"/>
      <x:c r="L41" s="3"/>
      <x:c r="M41" s="3"/>
      <x:c r="N41" s="3"/>
      <x:c r="O41" s="3"/>
      <x:c r="P41" s="3"/>
      <x:c r="Q41" s="3"/>
      <x:c r="R41" s="3"/>
      <x:c r="S41" s="3"/>
    </x:row>
    <x:row r="42" ht="21" customHeight="1">
      <x:c r="A42" s="3"/>
      <x:c r="B42" s="3"/>
      <x:c r="C42" s="3" t="str">
        <x:v>Diluted shares outstanding (M)</x:v>
      </x:c>
      <x:c r="D42" s="25" t="n">
        <x:f>'Operating model'!D60</x:f>
        <x:v>4000</x:v>
      </x:c>
      <x:c r="E42" s="25" t="n">
        <x:f>'Operating model'!E60</x:f>
        <x:v>4050</x:v>
      </x:c>
      <x:c r="F42" s="26" t="n">
        <x:f>'Operating model'!F60</x:f>
        <x:v>4100</x:v>
      </x:c>
      <x:c r="G42" s="26" t="n">
        <x:f>'Operating model'!G60</x:f>
        <x:v>4150</x:v>
      </x:c>
      <x:c r="H42" s="26" t="n">
        <x:f>'Operating model'!H60</x:f>
        <x:v>4200</x:v>
      </x:c>
      <x:c r="I42" s="26" t="n">
        <x:f>'Operating model'!I60</x:f>
        <x:v>4250</x:v>
      </x:c>
      <x:c r="J42" s="26" t="n">
        <x:f>'Operating model'!J60</x:f>
        <x:v>4300</x:v>
      </x:c>
      <x:c r="K42" s="3"/>
      <x:c r="L42" s="3"/>
      <x:c r="M42" s="3"/>
      <x:c r="N42" s="3"/>
      <x:c r="O42" s="3"/>
      <x:c r="P42" s="3"/>
      <x:c r="Q42" s="3"/>
      <x:c r="R42" s="3"/>
      <x:c r="S42" s="3"/>
    </x:row>
    <x:row r="43" ht="25" customHeight="1">
      <x:c r="A43" s="3"/>
      <x:c r="B43" s="3"/>
      <x:c r="C43" s="54" t="str">
        <x:v>Diluted earnings per share ($)</x:v>
      </x:c>
      <x:c r="D43" s="69" t="n">
        <x:f>IF(D42=0,"n.a.",D39/D42)</x:f>
        <x:v>0.31110555500000014</x:v>
      </x:c>
      <x:c r="E43" s="69" t="n">
        <x:f>IF(E42=0,"n.a.",E39/E42)</x:f>
        <x:v>0.5957333026370373</x:v>
      </x:c>
      <x:c r="F43" s="69" t="n">
        <x:f>IF(F42=0,"n.a.",F39/F42)</x:f>
        <x:v>0.9471417837080972</x:v>
      </x:c>
      <x:c r="G43" s="69" t="n">
        <x:f>IF(G42=0,"n.a.",G39/G42)</x:f>
        <x:v>1.3948110271032133</x:v>
      </x:c>
      <x:c r="H43" s="69" t="n">
        <x:f>IF(H42=0,"n.a.",H39/H42)</x:f>
        <x:v>1.9219666183030828</x:v>
      </x:c>
      <x:c r="I43" s="69" t="n">
        <x:f>IF(I42=0,"n.a.",I39/I42)</x:f>
        <x:v>2.514989924655907</x:v>
      </x:c>
      <x:c r="J43" s="69" t="n">
        <x:f>IF(J42=0,"n.a.",J39/J42)</x:f>
        <x:v>3.173684904846373</x:v>
      </x:c>
      <x:c r="K43" s="3"/>
      <x:c r="L43" s="3"/>
      <x:c r="M43" s="3"/>
      <x:c r="N43" s="3"/>
      <x:c r="O43" s="3"/>
      <x:c r="P43" s="3"/>
      <x:c r="Q43" s="3"/>
      <x:c r="R43" s="3"/>
      <x:c r="S43" s="3"/>
    </x:row>
    <x:row r="44" ht="21" customHeight="1">
      <x:c r="A44" s="3"/>
      <x:c r="B44" s="3"/>
      <x:c r="C44" s="3"/>
      <x:c r="D44" s="25"/>
      <x:c r="E44" s="25"/>
      <x:c r="F44" s="26"/>
      <x:c r="G44" s="26"/>
      <x:c r="H44" s="26"/>
      <x:c r="I44" s="26"/>
      <x:c r="J44" s="26"/>
      <x:c r="K44" s="3"/>
      <x:c r="L44" s="3"/>
      <x:c r="M44" s="3"/>
      <x:c r="N44" s="3"/>
      <x:c r="O44" s="3"/>
      <x:c r="P44" s="3"/>
      <x:c r="Q44" s="3"/>
      <x:c r="R44" s="3"/>
      <x:c r="S44" s="3"/>
    </x:row>
    <x:row r="45" ht="21" customHeight="1">
      <x:c r="A45" s="3"/>
      <x:c r="B45" s="3"/>
      <x:c r="C45" s="3"/>
      <x:c r="D45" s="25"/>
      <x:c r="E45" s="25"/>
      <x:c r="F45" s="26"/>
      <x:c r="G45" s="26"/>
      <x:c r="H45" s="26"/>
      <x:c r="I45" s="26"/>
      <x:c r="J45" s="26"/>
      <x:c r="K45" s="3"/>
      <x:c r="L45" s="3"/>
      <x:c r="M45" s="3"/>
      <x:c r="N45" s="3"/>
      <x:c r="O45" s="3"/>
      <x:c r="P45" s="3"/>
      <x:c r="Q45" s="3"/>
      <x:c r="R45" s="3"/>
      <x:c r="S45" s="3"/>
    </x:row>
    <x:row r="46" ht="21" customHeight="1">
      <x:c r="A46" s="3"/>
      <x:c r="B46" s="3"/>
      <x:c r="C46" s="31" t="str">
        <x:v>Launch revenue excludes internal missions. EBITDA = gross profit less R&amp;D and SG&amp;A.</x:v>
      </x:c>
      <x:c r="D46" s="25"/>
      <x:c r="E46" s="25"/>
      <x:c r="F46" s="26"/>
      <x:c r="G46" s="26"/>
      <x:c r="H46" s="26"/>
      <x:c r="I46" s="26"/>
      <x:c r="J46" s="26"/>
      <x:c r="K46" s="3"/>
      <x:c r="L46" s="3"/>
      <x:c r="M46" s="3"/>
      <x:c r="N46" s="3"/>
      <x:c r="O46" s="3"/>
      <x:c r="P46" s="3"/>
      <x:c r="Q46" s="3"/>
      <x:c r="R46" s="3"/>
      <x:c r="S46" s="3"/>
    </x:row>
    <x:row r="47" ht="21" customHeight="1">
      <x:c r="A47" s="3"/>
      <x:c r="B47" s="3"/>
      <x:c r="C47" s="31" t="str">
        <x:v>All amounts are synthetic. Modeled base years are not company-reported historical results.</x:v>
      </x:c>
      <x:c r="D47" s="25"/>
      <x:c r="E47" s="25"/>
      <x:c r="F47" s="26"/>
      <x:c r="G47" s="26"/>
      <x:c r="H47" s="26"/>
      <x:c r="I47" s="26"/>
      <x:c r="J47" s="26"/>
      <x:c r="K47" s="3"/>
      <x:c r="L47" s="3"/>
      <x:c r="M47" s="3"/>
      <x:c r="N47" s="3"/>
      <x:c r="O47" s="3"/>
      <x:c r="P47" s="3"/>
      <x:c r="Q47" s="3"/>
      <x:c r="R47" s="3"/>
      <x:c r="S47" s="3"/>
    </x:row>
    <x:row r="48" ht="21" customHeight="1">
      <x:c r="A48" s="3"/>
      <x:c r="B48" s="3"/>
      <x:c r="C48" s="3"/>
      <x:c r="D48" s="25"/>
      <x:c r="E48" s="25"/>
      <x:c r="F48" s="26"/>
      <x:c r="G48" s="26"/>
      <x:c r="H48" s="26"/>
      <x:c r="I48" s="26"/>
      <x:c r="J48" s="26"/>
      <x:c r="K48" s="3"/>
      <x:c r="L48" s="3"/>
      <x:c r="M48" s="3"/>
      <x:c r="N48" s="3"/>
      <x:c r="O48" s="3"/>
      <x:c r="P48" s="3"/>
      <x:c r="Q48" s="3"/>
      <x:c r="R48" s="3"/>
      <x:c r="S48" s="3"/>
    </x:row>
    <x:row r="49" ht="21" customHeight="1">
      <x:c r="A49" s="3"/>
      <x:c r="B49" s="3"/>
      <x:c r="C49" s="3"/>
      <x:c r="D49" s="25"/>
      <x:c r="E49" s="25"/>
      <x:c r="F49" s="26"/>
      <x:c r="G49" s="26"/>
      <x:c r="H49" s="26"/>
      <x:c r="I49" s="26"/>
      <x:c r="J49" s="26"/>
      <x:c r="K49" s="3"/>
      <x:c r="L49" s="3"/>
      <x:c r="M49" s="3"/>
      <x:c r="N49" s="3"/>
      <x:c r="O49" s="3"/>
      <x:c r="P49" s="3"/>
      <x:c r="Q49" s="3"/>
      <x:c r="R49" s="3"/>
      <x:c r="S49" s="3"/>
    </x:row>
    <x:row r="50" ht="21" customHeight="1">
      <x:c r="A50" s="3"/>
      <x:c r="B50" s="3"/>
      <x:c r="C50" s="3" t="str">
        <x:v>CHART DATA · linked to the statement above</x:v>
      </x:c>
      <x:c r="D50" s="25"/>
      <x:c r="E50" s="25"/>
      <x:c r="F50" s="26"/>
      <x:c r="G50" s="26"/>
      <x:c r="H50" s="26"/>
      <x:c r="I50" s="26"/>
      <x:c r="J50" s="26"/>
      <x:c r="K50" s="3"/>
      <x:c r="L50" s="3"/>
      <x:c r="M50" s="3"/>
      <x:c r="N50" s="3"/>
      <x:c r="O50" s="3"/>
      <x:c r="P50" s="3"/>
      <x:c r="Q50" s="3"/>
      <x:c r="R50" s="3"/>
      <x:c r="S50" s="3"/>
    </x:row>
    <x:row r="51" ht="24" customHeight="1">
      <x:c r="A51" s="3"/>
      <x:c r="B51" s="3"/>
      <x:c r="C51" s="34" t="str">
        <x:v>Year</x:v>
      </x:c>
      <x:c r="D51" s="35" t="str">
        <x:v>Revenue</x:v>
      </x:c>
      <x:c r="E51" s="35" t="str">
        <x:v>EBITDA</x:v>
      </x:c>
      <x:c r="F51" s="35" t="str">
        <x:v>Gross margin</x:v>
      </x:c>
      <x:c r="G51" s="35" t="str">
        <x:v>EBITDA margin</x:v>
      </x:c>
      <x:c r="H51" s="35" t="str">
        <x:v>Net income</x:v>
      </x:c>
      <x:c r="I51" s="26"/>
      <x:c r="J51" s="26"/>
      <x:c r="K51" s="3"/>
      <x:c r="L51" s="3"/>
      <x:c r="M51" s="3"/>
      <x:c r="N51" s="3"/>
      <x:c r="O51" s="3"/>
      <x:c r="P51" s="3"/>
      <x:c r="Q51" s="3"/>
      <x:c r="R51" s="3"/>
      <x:c r="S51" s="3"/>
    </x:row>
    <x:row r="52" ht="21" customHeight="1">
      <x:c r="A52" s="3"/>
      <x:c r="B52" s="3"/>
      <x:c r="C52" s="71" t="n">
        <x:f>D8</x:f>
        <x:v>2025</x:v>
      </x:c>
      <x:c r="D52" s="25" t="n">
        <x:f>D17</x:f>
        <x:v>13178.2</x:v>
      </x:c>
      <x:c r="E52" s="25" t="n">
        <x:f>D31</x:f>
        <x:v>2605.7180000000008</x:v>
      </x:c>
      <x:c r="F52" s="72" t="n">
        <x:f>D27</x:f>
        <x:v>0.49364253084639786</x:v>
      </x:c>
      <x:c r="G52" s="72" t="n">
        <x:f>D32</x:f>
        <x:v>0.19772943194062928</x:v>
      </x:c>
      <x:c r="H52" s="26" t="n">
        <x:f>D39</x:f>
        <x:v>1244.4222200000006</x:v>
      </x:c>
      <x:c r="I52" s="26"/>
      <x:c r="J52" s="26"/>
      <x:c r="K52" s="3"/>
      <x:c r="L52" s="3"/>
      <x:c r="M52" s="3"/>
      <x:c r="N52" s="3"/>
      <x:c r="O52" s="3"/>
      <x:c r="P52" s="3"/>
      <x:c r="Q52" s="3"/>
      <x:c r="R52" s="3"/>
      <x:c r="S52" s="3"/>
    </x:row>
    <x:row r="53" ht="21" customHeight="1">
      <x:c r="A53" s="3"/>
      <x:c r="B53" s="3"/>
      <x:c r="C53" s="71" t="n">
        <x:f>E8</x:f>
        <x:v>2026</x:v>
      </x:c>
      <x:c r="D53" s="25" t="n">
        <x:f>E17</x:f>
        <x:v>17250.5328</x:v>
      </x:c>
      <x:c r="E53" s="25" t="n">
        <x:f>E31</x:f>
        <x:v>4309.175792000001</x:v>
      </x:c>
      <x:c r="F53" s="72" t="n">
        <x:f>E27</x:f>
        <x:v>0.5105195591408053</x:v>
      </x:c>
      <x:c r="G53" s="72" t="n">
        <x:f>E32</x:f>
        <x:v>0.24979957674118916</x:v>
      </x:c>
      <x:c r="H53" s="26" t="n">
        <x:f>E39</x:f>
        <x:v>2412.7198756800008</x:v>
      </x:c>
      <x:c r="I53" s="26"/>
      <x:c r="J53" s="26"/>
      <x:c r="K53" s="3"/>
      <x:c r="L53" s="3"/>
      <x:c r="M53" s="3"/>
      <x:c r="N53" s="3"/>
      <x:c r="O53" s="3"/>
      <x:c r="P53" s="3"/>
      <x:c r="Q53" s="3"/>
      <x:c r="R53" s="3"/>
      <x:c r="S53" s="3"/>
    </x:row>
    <x:row r="54" ht="21" customHeight="1">
      <x:c r="A54" s="3"/>
      <x:c r="B54" s="3"/>
      <x:c r="C54" s="71" t="n">
        <x:f>F8</x:f>
        <x:v>2027</x:v>
      </x:c>
      <x:c r="D54" s="25" t="n">
        <x:f>F17</x:f>
        <x:v>22239.833472</x:v>
      </x:c>
      <x:c r="E54" s="25" t="n">
        <x:f>F31</x:f>
        <x:v>6438.173966079998</x:v>
      </x:c>
      <x:c r="F54" s="72" t="n">
        <x:f>F27</x:f>
        <x:v>0.5289857796287729</x:v>
      </x:c>
      <x:c r="G54" s="72" t="n">
        <x:f>F32</x:f>
        <x:v>0.28948840710456186</x:v>
      </x:c>
      <x:c r="H54" s="26" t="n">
        <x:f>F39</x:f>
        <x:v>3883.2813132031984</x:v>
      </x:c>
      <x:c r="I54" s="26"/>
      <x:c r="J54" s="26"/>
      <x:c r="K54" s="3"/>
      <x:c r="L54" s="3"/>
      <x:c r="M54" s="3"/>
      <x:c r="N54" s="3"/>
      <x:c r="O54" s="3"/>
      <x:c r="P54" s="3"/>
      <x:c r="Q54" s="3"/>
      <x:c r="R54" s="3"/>
      <x:c r="S54" s="3"/>
    </x:row>
    <x:row r="55" ht="21" customHeight="1">
      <x:c r="A55" s="3"/>
      <x:c r="B55" s="3"/>
      <x:c r="C55" s="71" t="n">
        <x:f>G8</x:f>
        <x:v>2028</x:v>
      </x:c>
      <x:c r="D55" s="25" t="n">
        <x:f>G17</x:f>
        <x:v>27932.78822656</x:v>
      </x:c>
      <x:c r="E55" s="25" t="n">
        <x:f>G31</x:f>
        <x:v>9147.424491238398</x:v>
      </x:c>
      <x:c r="F55" s="72" t="n">
        <x:f>G27</x:f>
        <x:v>0.550250518190137</x:v>
      </x:c>
      <x:c r="G55" s="72" t="n">
        <x:f>G32</x:f>
        <x:v>0.3274798210992963</x:v>
      </x:c>
      <x:c r="H55" s="26" t="n">
        <x:f>G39</x:f>
        <x:v>5788.465762478335</x:v>
      </x:c>
      <x:c r="I55" s="26"/>
      <x:c r="J55" s="26"/>
      <x:c r="K55" s="3"/>
      <x:c r="L55" s="3"/>
      <x:c r="M55" s="3"/>
      <x:c r="N55" s="3"/>
      <x:c r="O55" s="3"/>
      <x:c r="P55" s="3"/>
      <x:c r="Q55" s="3"/>
      <x:c r="R55" s="3"/>
      <x:c r="S55" s="3"/>
    </x:row>
    <x:row r="56" ht="21" customHeight="1">
      <x:c r="A56" s="3"/>
      <x:c r="B56" s="3"/>
      <x:c r="C56" s="71" t="n">
        <x:f>H8</x:f>
        <x:v>2029</x:v>
      </x:c>
      <x:c r="D56" s="25" t="n">
        <x:f>H17</x:f>
        <x:v>34034.327286169595</x:v>
      </x:c>
      <x:c r="E56" s="25" t="n">
        <x:f>H31</x:f>
        <x:v>12348.73269898854</x:v>
      </x:c>
      <x:c r="F56" s="72" t="n">
        <x:f>H27</x:f>
        <x:v>0.5733184774419332</x:v>
      </x:c>
      <x:c r="G56" s="72" t="n">
        <x:f>H32</x:f>
        <x:v>0.3628316962212046</x:v>
      </x:c>
      <x:c r="H56" s="26" t="n">
        <x:f>H39</x:f>
        <x:v>8072.259796872948</x:v>
      </x:c>
      <x:c r="I56" s="26"/>
      <x:c r="J56" s="26"/>
      <x:c r="K56" s="3"/>
      <x:c r="L56" s="3"/>
      <x:c r="M56" s="3"/>
      <x:c r="N56" s="3"/>
      <x:c r="O56" s="3"/>
      <x:c r="P56" s="3"/>
      <x:c r="Q56" s="3"/>
      <x:c r="R56" s="3"/>
      <x:c r="S56" s="3"/>
    </x:row>
    <x:row r="57" ht="21" customHeight="1">
      <x:c r="A57" s="3"/>
      <x:c r="B57" s="3"/>
      <x:c r="C57" s="71" t="n">
        <x:f>I8</x:f>
        <x:v>2030</x:v>
      </x:c>
      <x:c r="D57" s="25" t="n">
        <x:f>I17</x:f>
        <x:v>40669.44065159168</x:v>
      </x:c>
      <x:c r="E57" s="25" t="n">
        <x:f>I31</x:f>
        <x:v>15980.709532754738</x:v>
      </x:c>
      <x:c r="F57" s="72" t="n">
        <x:f>I27</x:f>
        <x:v>0.5939188643226273</x:v>
      </x:c>
      <x:c r="G57" s="72" t="n">
        <x:f>I32</x:f>
        <x:v>0.39294146358340193</x:v>
      </x:c>
      <x:c r="H57" s="26" t="n">
        <x:f>I39</x:f>
        <x:v>10688.707179787603</x:v>
      </x:c>
      <x:c r="I57" s="26"/>
      <x:c r="J57" s="26"/>
      <x:c r="K57" s="3"/>
      <x:c r="L57" s="3"/>
      <x:c r="M57" s="3"/>
      <x:c r="N57" s="3"/>
      <x:c r="O57" s="3"/>
      <x:c r="P57" s="3"/>
      <x:c r="Q57" s="3"/>
      <x:c r="R57" s="3"/>
      <x:c r="S57" s="3"/>
    </x:row>
    <x:row r="58" ht="21" customHeight="1">
      <x:c r="A58" s="3"/>
      <x:c r="B58" s="3"/>
      <x:c r="C58" s="71" t="n">
        <x:f>J8</x:f>
        <x:v>2031</x:v>
      </x:c>
      <x:c r="D58" s="25" t="n">
        <x:f>J17</x:f>
        <x:v>47686.69378391474</x:v>
      </x:c>
      <x:c r="E58" s="25" t="n">
        <x:f>J31</x:f>
        <x:v>20055.463847844818</x:v>
      </x:c>
      <x:c r="F58" s="72" t="n">
        <x:f>J27</x:f>
        <x:v>0.6140287329785955</x:v>
      </x:c>
      <x:c r="G58" s="72" t="n">
        <x:f>J32</x:f>
        <x:v>0.42056729574759805</x:v>
      </x:c>
      <x:c r="H58" s="26" t="n">
        <x:f>J39</x:f>
        <x:v>13646.845090839404</x:v>
      </x:c>
      <x:c r="I58" s="26"/>
      <x:c r="J58" s="26"/>
      <x:c r="K58" s="3"/>
      <x:c r="L58" s="3"/>
      <x:c r="M58" s="3"/>
      <x:c r="N58" s="3"/>
      <x:c r="O58" s="3"/>
      <x:c r="P58" s="3"/>
      <x:c r="Q58" s="3"/>
      <x:c r="R58" s="3"/>
      <x:c r="S58" s="3"/>
    </x:row>
    <x:row r="59" ht="21" customHeight="1">
      <x:c r="A59" s="3"/>
      <x:c r="B59" s="3"/>
      <x:c r="C59" s="3"/>
      <x:c r="D59" s="25"/>
      <x:c r="E59" s="25"/>
      <x:c r="F59" s="26"/>
      <x:c r="G59" s="26"/>
      <x:c r="H59" s="26"/>
      <x:c r="I59" s="26"/>
      <x:c r="J59" s="26"/>
      <x:c r="K59" s="3"/>
      <x:c r="L59" s="3"/>
      <x:c r="M59" s="3"/>
      <x:c r="N59" s="3"/>
      <x:c r="O59" s="3"/>
      <x:c r="P59" s="3"/>
      <x:c r="Q59" s="3"/>
      <x:c r="R59" s="3"/>
      <x:c r="S59" s="3"/>
    </x:row>
  </x:sheetData>
  <x:dataValidations count="1">
    <x:dataValidation type="whole" operator="between" sqref="F5">
      <x:formula1>0</x:formula1>
      <x:formula2>10000</x:formula2>
    </x:dataValidation>
  </x:dataValidations>
  <x:pageMargins left="0.7" right="0.7" top="0.75" bottom="0.75" header="0.3" footer="0.3"/>
  <x:drawing xmlns:r="http://schemas.openxmlformats.org/officeDocument/2006/relationships" r:id="R7959d02e1c4d429b"/>
</x:worksheet>
</file>

<file path=xl/worksheets/sheet2.xml><?xml version="1.0" encoding="utf-8"?>
<x:worksheet xmlns:x="http://schemas.openxmlformats.org/spreadsheetml/2006/main">
  <x:sheetPr>
    <x:tabColor rgb="FF527BA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3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</x:cols>
  <x:sheetData>
    <x:row r="1" ht="21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2" customHeight="1">
      <x:c r="A2" s="3"/>
      <x:c r="B2" s="3"/>
      <x:c r="C2" s="5" t="str">
        <x:v>Larkspur Orbital / Operating model</x:v>
      </x:c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3" ht="21" customHeight="1">
      <x:c r="A3" s="3"/>
      <x:c r="B3" s="3"/>
      <x:c r="C3" s="7" t="str">
        <x:v>Editable business drivers · whole launch counts · subscribers in millions · synthetic inputs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 ht="21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 ht="21" customHeight="1">
      <x:c r="A5" s="3"/>
      <x:c r="B5" s="3"/>
      <x:c r="C5" s="7" t="str">
        <x:v>Blue values on amber = editable forecasts. The 2027 launch input is on Income statement!F5.</x:v>
      </x:c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</x:row>
    <x:row r="6" ht="21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</x:row>
    <x:row r="7" ht="21" customHeight="1">
      <x:c r="A7" s="3"/>
      <x:c r="B7" s="3"/>
      <x:c r="C7" s="3"/>
      <x:c r="D7" s="9" t="str">
        <x:v>MODELED BASE</x:v>
      </x:c>
      <x:c r="E7" s="9"/>
      <x:c r="F7" s="11" t="str">
        <x:v>FORECAST</x:v>
      </x:c>
      <x:c r="G7" s="11"/>
      <x:c r="H7" s="11"/>
      <x:c r="I7" s="11"/>
      <x:c r="J7" s="11"/>
      <x:c r="K7" s="3"/>
      <x:c r="L7" s="3"/>
      <x:c r="M7" s="3"/>
      <x:c r="N7" s="3"/>
      <x:c r="O7" s="3"/>
      <x:c r="P7" s="3"/>
      <x:c r="Q7" s="3"/>
      <x:c r="R7" s="3"/>
      <x:c r="S7" s="3"/>
    </x:row>
    <x:row r="8" ht="26" customHeight="1">
      <x:c r="A8" s="3"/>
      <x:c r="B8" s="3"/>
      <x:c r="C8" s="17" t="str">
        <x:v>USD millions, except where noted</x:v>
      </x:c>
      <x:c r="D8" s="20" t="n">
        <x:v>2025</x:v>
      </x:c>
      <x:c r="E8" s="20" t="n">
        <x:v>2026</x:v>
      </x:c>
      <x:c r="F8" s="21" t="n">
        <x:v>2027</x:v>
      </x:c>
      <x:c r="G8" s="21" t="n">
        <x:v>2028</x:v>
      </x:c>
      <x:c r="H8" s="21" t="n">
        <x:v>2029</x:v>
      </x:c>
      <x:c r="I8" s="21" t="n">
        <x:v>2030</x:v>
      </x:c>
      <x:c r="J8" s="21" t="n">
        <x:v>2031</x:v>
      </x:c>
      <x:c r="K8" s="3"/>
      <x:c r="L8" s="3"/>
      <x:c r="M8" s="3"/>
      <x:c r="N8" s="3"/>
      <x:c r="O8" s="3"/>
      <x:c r="P8" s="3"/>
      <x:c r="Q8" s="3"/>
      <x:c r="R8" s="3"/>
      <x:c r="S8" s="3"/>
    </x:row>
    <x:row r="9" ht="21" customHeight="1">
      <x:c r="A9" s="3"/>
      <x:c r="B9" s="3"/>
      <x:c r="C9" s="3"/>
      <x:c r="D9" s="25"/>
      <x:c r="E9" s="25"/>
      <x:c r="F9" s="26"/>
      <x:c r="G9" s="26"/>
      <x:c r="H9" s="26"/>
      <x:c r="I9" s="26"/>
      <x:c r="J9" s="26"/>
      <x:c r="K9" s="3"/>
      <x:c r="L9" s="3"/>
      <x:c r="M9" s="3"/>
      <x:c r="N9" s="3"/>
      <x:c r="O9" s="3"/>
      <x:c r="P9" s="3"/>
      <x:c r="Q9" s="3"/>
      <x:c r="R9" s="3"/>
      <x:c r="S9" s="3"/>
    </x:row>
    <x:row r="10" ht="24" customHeight="1">
      <x:c r="A10" s="3"/>
      <x:c r="B10" s="3"/>
      <x:c r="C10" s="34" t="str">
        <x:v>LAUNCH SERVICES</x:v>
      </x:c>
      <x:c r="D10" s="35"/>
      <x:c r="E10" s="35"/>
      <x:c r="F10" s="35"/>
      <x:c r="G10" s="35"/>
      <x:c r="H10" s="35"/>
      <x:c r="I10" s="35"/>
      <x:c r="J10" s="35"/>
      <x:c r="K10" s="3"/>
      <x:c r="L10" s="3"/>
      <x:c r="M10" s="3"/>
      <x:c r="N10" s="3"/>
      <x:c r="O10" s="3"/>
      <x:c r="P10" s="3"/>
      <x:c r="Q10" s="3"/>
      <x:c r="R10" s="3"/>
      <x:c r="S10" s="3"/>
    </x:row>
    <x:row r="11" ht="21" customHeight="1">
      <x:c r="A11" s="3"/>
      <x:c r="B11" s="3"/>
      <x:c r="C11" s="3" t="str">
        <x:v>Paid standard launches</x:v>
      </x:c>
      <x:c r="D11" s="25" t="n">
        <x:v>90</x:v>
      </x:c>
      <x:c r="E11" s="25" t="n">
        <x:v>105</x:v>
      </x:c>
      <x:c r="F11" s="38" t="n">
        <x:f>'Income statement'!$F$5</x:f>
        <x:v>120</x:v>
      </x:c>
      <x:c r="G11" s="26" t="n">
        <x:f>ROUND(F11*(1+G12),0)</x:f>
        <x:v>138</x:v>
      </x:c>
      <x:c r="H11" s="26" t="n">
        <x:f>ROUND(G11*(1+H12),0)</x:f>
        <x:v>159</x:v>
      </x:c>
      <x:c r="I11" s="26" t="n">
        <x:f>ROUND(H11*(1+I12),0)</x:f>
        <x:v>183</x:v>
      </x:c>
      <x:c r="J11" s="26" t="n">
        <x:f>ROUND(I11*(1+J12),0)</x:f>
        <x:v>210</x:v>
      </x:c>
      <x:c r="K11" s="3"/>
      <x:c r="L11" s="3"/>
      <x:c r="M11" s="3"/>
      <x:c r="N11" s="3"/>
      <x:c r="O11" s="3"/>
      <x:c r="P11" s="3"/>
      <x:c r="Q11" s="3"/>
      <x:c r="R11" s="3"/>
      <x:c r="S11" s="3"/>
    </x:row>
    <x:row r="12" ht="21" customHeight="1">
      <x:c r="A12" s="3"/>
      <x:c r="B12" s="3"/>
      <x:c r="C12" s="3" t="str">
        <x:v>Annual standard-launch growth</x:v>
      </x:c>
      <x:c r="D12" s="42" t="str">
        <x:v>n.a.</x:v>
      </x:c>
      <x:c r="E12" s="42" t="n">
        <x:f>E11/D11-1</x:f>
        <x:v>0.16666666666666674</x:v>
      </x:c>
      <x:c r="F12" s="43" t="n">
        <x:f>F11/E11-1</x:f>
        <x:v>0.1428571428571428</x:v>
      </x:c>
      <x:c r="G12" s="44" t="n">
        <x:v>0.15</x:v>
      </x:c>
      <x:c r="H12" s="44" t="n">
        <x:v>0.15</x:v>
      </x:c>
      <x:c r="I12" s="44" t="n">
        <x:v>0.15</x:v>
      </x:c>
      <x:c r="J12" s="44" t="n">
        <x:v>0.15</x:v>
      </x:c>
      <x:c r="K12" s="3"/>
      <x:c r="L12" s="3"/>
      <x:c r="M12" s="3"/>
      <x:c r="N12" s="3"/>
      <x:c r="O12" s="3"/>
      <x:c r="P12" s="3"/>
      <x:c r="Q12" s="3"/>
      <x:c r="R12" s="3"/>
      <x:c r="S12" s="3"/>
    </x:row>
    <x:row r="13" ht="21" customHeight="1">
      <x:c r="A13" s="3"/>
      <x:c r="B13" s="3"/>
      <x:c r="C13" s="3" t="str">
        <x:v>Government share of standard launches</x:v>
      </x:c>
      <x:c r="D13" s="45" t="n">
        <x:v>0.25</x:v>
      </x:c>
      <x:c r="E13" s="45" t="n">
        <x:v>0.25</x:v>
      </x:c>
      <x:c r="F13" s="44" t="n">
        <x:v>0.25</x:v>
      </x:c>
      <x:c r="G13" s="44" t="n">
        <x:v>0.25</x:v>
      </x:c>
      <x:c r="H13" s="44" t="n">
        <x:v>0.25</x:v>
      </x:c>
      <x:c r="I13" s="44" t="n">
        <x:v>0.25</x:v>
      </x:c>
      <x:c r="J13" s="44" t="n">
        <x:v>0.25</x:v>
      </x:c>
      <x:c r="K13" s="3"/>
      <x:c r="L13" s="3"/>
      <x:c r="M13" s="3"/>
      <x:c r="N13" s="3"/>
      <x:c r="O13" s="3"/>
      <x:c r="P13" s="3"/>
      <x:c r="Q13" s="3"/>
      <x:c r="R13" s="3"/>
      <x:c r="S13" s="3"/>
    </x:row>
    <x:row r="14" ht="21" customHeight="1">
      <x:c r="A14" s="3"/>
      <x:c r="B14" s="3"/>
      <x:c r="C14" s="3" t="str">
        <x:v>Government standard launches</x:v>
      </x:c>
      <x:c r="D14" s="25" t="n">
        <x:f>ROUND(D11*D13,0)</x:f>
        <x:v>23</x:v>
      </x:c>
      <x:c r="E14" s="25" t="n">
        <x:f>ROUND(E11*E13,0)</x:f>
        <x:v>26</x:v>
      </x:c>
      <x:c r="F14" s="26" t="n">
        <x:f>ROUND(F11*F13,0)</x:f>
        <x:v>30</x:v>
      </x:c>
      <x:c r="G14" s="26" t="n">
        <x:f>ROUND(G11*G13,0)</x:f>
        <x:v>35</x:v>
      </x:c>
      <x:c r="H14" s="26" t="n">
        <x:f>ROUND(H11*H13,0)</x:f>
        <x:v>40</x:v>
      </x:c>
      <x:c r="I14" s="26" t="n">
        <x:f>ROUND(I11*I13,0)</x:f>
        <x:v>46</x:v>
      </x:c>
      <x:c r="J14" s="26" t="n">
        <x:f>ROUND(J11*J13,0)</x:f>
        <x:v>53</x:v>
      </x:c>
      <x:c r="K14" s="3"/>
      <x:c r="L14" s="3"/>
      <x:c r="M14" s="3"/>
      <x:c r="N14" s="3"/>
      <x:c r="O14" s="3"/>
      <x:c r="P14" s="3"/>
      <x:c r="Q14" s="3"/>
      <x:c r="R14" s="3"/>
      <x:c r="S14" s="3"/>
    </x:row>
    <x:row r="15" ht="21" customHeight="1">
      <x:c r="A15" s="3"/>
      <x:c r="B15" s="3"/>
      <x:c r="C15" s="3" t="str">
        <x:v>Commercial standard launches</x:v>
      </x:c>
      <x:c r="D15" s="25" t="n">
        <x:f>D11-D14</x:f>
        <x:v>67</x:v>
      </x:c>
      <x:c r="E15" s="25" t="n">
        <x:f>E11-E14</x:f>
        <x:v>79</x:v>
      </x:c>
      <x:c r="F15" s="26" t="n">
        <x:f>F11-F14</x:f>
        <x:v>90</x:v>
      </x:c>
      <x:c r="G15" s="26" t="n">
        <x:f>G11-G14</x:f>
        <x:v>103</x:v>
      </x:c>
      <x:c r="H15" s="26" t="n">
        <x:f>H11-H14</x:f>
        <x:v>119</x:v>
      </x:c>
      <x:c r="I15" s="26" t="n">
        <x:f>I11-I14</x:f>
        <x:v>137</x:v>
      </x:c>
      <x:c r="J15" s="26" t="n">
        <x:f>J11-J14</x:f>
        <x:v>157</x:v>
      </x:c>
      <x:c r="K15" s="3"/>
      <x:c r="L15" s="3"/>
      <x:c r="M15" s="3"/>
      <x:c r="N15" s="3"/>
      <x:c r="O15" s="3"/>
      <x:c r="P15" s="3"/>
      <x:c r="Q15" s="3"/>
      <x:c r="R15" s="3"/>
      <x:c r="S15" s="3"/>
    </x:row>
    <x:row r="16" ht="21" customHeight="1">
      <x:c r="A16" s="3"/>
      <x:c r="B16" s="3"/>
      <x:c r="C16" s="3" t="str">
        <x:v>Commercial price / launch ($M)</x:v>
      </x:c>
      <x:c r="D16" s="37" t="n">
        <x:v>62</x:v>
      </x:c>
      <x:c r="E16" s="37" t="n">
        <x:v>65</x:v>
      </x:c>
      <x:c r="F16" s="30" t="n">
        <x:v>68</x:v>
      </x:c>
      <x:c r="G16" s="30" t="n">
        <x:v>70</x:v>
      </x:c>
      <x:c r="H16" s="30" t="n">
        <x:v>72</x:v>
      </x:c>
      <x:c r="I16" s="30" t="n">
        <x:v>74</x:v>
      </x:c>
      <x:c r="J16" s="30" t="n">
        <x:v>76</x:v>
      </x:c>
      <x:c r="K16" s="3"/>
      <x:c r="L16" s="3"/>
      <x:c r="M16" s="3"/>
      <x:c r="N16" s="3"/>
      <x:c r="O16" s="3"/>
      <x:c r="P16" s="3"/>
      <x:c r="Q16" s="3"/>
      <x:c r="R16" s="3"/>
      <x:c r="S16" s="3"/>
    </x:row>
    <x:row r="17" ht="21" customHeight="1">
      <x:c r="A17" s="3"/>
      <x:c r="B17" s="3"/>
      <x:c r="C17" s="3" t="str">
        <x:v>Government price / launch ($M)</x:v>
      </x:c>
      <x:c r="D17" s="37" t="n">
        <x:v>85</x:v>
      </x:c>
      <x:c r="E17" s="37" t="n">
        <x:v>88</x:v>
      </x:c>
      <x:c r="F17" s="30" t="n">
        <x:v>92</x:v>
      </x:c>
      <x:c r="G17" s="30" t="n">
        <x:v>96</x:v>
      </x:c>
      <x:c r="H17" s="30" t="n">
        <x:v>100</x:v>
      </x:c>
      <x:c r="I17" s="30" t="n">
        <x:v>104</x:v>
      </x:c>
      <x:c r="J17" s="30" t="n">
        <x:v>108</x:v>
      </x:c>
      <x:c r="K17" s="3"/>
      <x:c r="L17" s="3"/>
      <x:c r="M17" s="3"/>
      <x:c r="N17" s="3"/>
      <x:c r="O17" s="3"/>
      <x:c r="P17" s="3"/>
      <x:c r="Q17" s="3"/>
      <x:c r="R17" s="3"/>
      <x:c r="S17" s="3"/>
    </x:row>
    <x:row r="18" ht="21" customHeight="1">
      <x:c r="A18" s="3"/>
      <x:c r="B18" s="3"/>
      <x:c r="C18" s="3" t="str">
        <x:v>Paid heavy-lift launches</x:v>
      </x:c>
      <x:c r="D18" s="37" t="n">
        <x:v>6</x:v>
      </x:c>
      <x:c r="E18" s="37" t="n">
        <x:v>8</x:v>
      </x:c>
      <x:c r="F18" s="30" t="n">
        <x:v>12</x:v>
      </x:c>
      <x:c r="G18" s="30" t="n">
        <x:v>18</x:v>
      </x:c>
      <x:c r="H18" s="30" t="n">
        <x:v>24</x:v>
      </x:c>
      <x:c r="I18" s="30" t="n">
        <x:v>30</x:v>
      </x:c>
      <x:c r="J18" s="30" t="n">
        <x:v>36</x:v>
      </x:c>
      <x:c r="K18" s="3"/>
      <x:c r="L18" s="3"/>
      <x:c r="M18" s="3"/>
      <x:c r="N18" s="3"/>
      <x:c r="O18" s="3"/>
      <x:c r="P18" s="3"/>
      <x:c r="Q18" s="3"/>
      <x:c r="R18" s="3"/>
      <x:c r="S18" s="3"/>
    </x:row>
    <x:row r="19" ht="21" customHeight="1">
      <x:c r="A19" s="3"/>
      <x:c r="B19" s="3"/>
      <x:c r="C19" s="3" t="str">
        <x:v>Heavy-lift price / launch ($M)</x:v>
      </x:c>
      <x:c r="D19" s="37" t="n">
        <x:v>140</x:v>
      </x:c>
      <x:c r="E19" s="37" t="n">
        <x:v>145</x:v>
      </x:c>
      <x:c r="F19" s="30" t="n">
        <x:v>150</x:v>
      </x:c>
      <x:c r="G19" s="30" t="n">
        <x:v>155</x:v>
      </x:c>
      <x:c r="H19" s="30" t="n">
        <x:v>160</x:v>
      </x:c>
      <x:c r="I19" s="30" t="n">
        <x:v>165</x:v>
      </x:c>
      <x:c r="J19" s="30" t="n">
        <x:v>170</x:v>
      </x:c>
      <x:c r="K19" s="3"/>
      <x:c r="L19" s="3"/>
      <x:c r="M19" s="3"/>
      <x:c r="N19" s="3"/>
      <x:c r="O19" s="3"/>
      <x:c r="P19" s="3"/>
      <x:c r="Q19" s="3"/>
      <x:c r="R19" s="3"/>
      <x:c r="S19" s="3"/>
    </x:row>
    <x:row r="20" ht="21" customHeight="1">
      <x:c r="A20" s="3"/>
      <x:c r="B20" s="3"/>
      <x:c r="C20" s="3" t="str">
        <x:v>Standard-launch unit cost ($M)</x:v>
      </x:c>
      <x:c r="D20" s="37" t="n">
        <x:v>29</x:v>
      </x:c>
      <x:c r="E20" s="37" t="n">
        <x:v>30</x:v>
      </x:c>
      <x:c r="F20" s="30" t="n">
        <x:v>31</x:v>
      </x:c>
      <x:c r="G20" s="30" t="n">
        <x:v>31</x:v>
      </x:c>
      <x:c r="H20" s="30" t="n">
        <x:v>30</x:v>
      </x:c>
      <x:c r="I20" s="30" t="n">
        <x:v>29</x:v>
      </x:c>
      <x:c r="J20" s="30" t="n">
        <x:v>28</x:v>
      </x:c>
      <x:c r="K20" s="3"/>
      <x:c r="L20" s="3"/>
      <x:c r="M20" s="3"/>
      <x:c r="N20" s="3"/>
      <x:c r="O20" s="3"/>
      <x:c r="P20" s="3"/>
      <x:c r="Q20" s="3"/>
      <x:c r="R20" s="3"/>
      <x:c r="S20" s="3"/>
    </x:row>
    <x:row r="21" ht="21" customHeight="1">
      <x:c r="A21" s="3"/>
      <x:c r="B21" s="3"/>
      <x:c r="C21" s="3" t="str">
        <x:v>Heavy-lift unit cost ($M)</x:v>
      </x:c>
      <x:c r="D21" s="37" t="n">
        <x:v>80</x:v>
      </x:c>
      <x:c r="E21" s="37" t="n">
        <x:v>82</x:v>
      </x:c>
      <x:c r="F21" s="30" t="n">
        <x:v>80</x:v>
      </x:c>
      <x:c r="G21" s="30" t="n">
        <x:v>78</x:v>
      </x:c>
      <x:c r="H21" s="30" t="n">
        <x:v>76</x:v>
      </x:c>
      <x:c r="I21" s="30" t="n">
        <x:v>74</x:v>
      </x:c>
      <x:c r="J21" s="30" t="n">
        <x:v>72</x:v>
      </x:c>
      <x:c r="K21" s="3"/>
      <x:c r="L21" s="3"/>
      <x:c r="M21" s="3"/>
      <x:c r="N21" s="3"/>
      <x:c r="O21" s="3"/>
      <x:c r="P21" s="3"/>
      <x:c r="Q21" s="3"/>
      <x:c r="R21" s="3"/>
      <x:c r="S21" s="3"/>
    </x:row>
    <x:row r="22" ht="21" customHeight="1">
      <x:c r="A22" s="3"/>
      <x:c r="B22" s="3"/>
      <x:c r="C22" s="3" t="str">
        <x:v>Fixed pad and fleet costs</x:v>
      </x:c>
      <x:c r="D22" s="37" t="n">
        <x:v>550</x:v>
      </x:c>
      <x:c r="E22" s="37" t="n">
        <x:v>600</x:v>
      </x:c>
      <x:c r="F22" s="30" t="n">
        <x:v>680</x:v>
      </x:c>
      <x:c r="G22" s="30" t="n">
        <x:v>750</x:v>
      </x:c>
      <x:c r="H22" s="30" t="n">
        <x:v>820</x:v>
      </x:c>
      <x:c r="I22" s="30" t="n">
        <x:v>900</x:v>
      </x:c>
      <x:c r="J22" s="30" t="n">
        <x:v>980</x:v>
      </x:c>
      <x:c r="K22" s="3"/>
      <x:c r="L22" s="3"/>
      <x:c r="M22" s="3"/>
      <x:c r="N22" s="3"/>
      <x:c r="O22" s="3"/>
      <x:c r="P22" s="3"/>
      <x:c r="Q22" s="3"/>
      <x:c r="R22" s="3"/>
      <x:c r="S22" s="3"/>
    </x:row>
    <x:row r="23" ht="21" customHeight="1">
      <x:c r="A23" s="3"/>
      <x:c r="B23" s="3"/>
      <x:c r="C23" s="3"/>
      <x:c r="D23" s="25"/>
      <x:c r="E23" s="25"/>
      <x:c r="F23" s="26"/>
      <x:c r="G23" s="26"/>
      <x:c r="H23" s="26"/>
      <x:c r="I23" s="26"/>
      <x:c r="J23" s="26"/>
      <x:c r="K23" s="3"/>
      <x:c r="L23" s="3"/>
      <x:c r="M23" s="3"/>
      <x:c r="N23" s="3"/>
      <x:c r="O23" s="3"/>
      <x:c r="P23" s="3"/>
      <x:c r="Q23" s="3"/>
      <x:c r="R23" s="3"/>
      <x:c r="S23" s="3"/>
    </x:row>
    <x:row r="24" ht="21" customHeight="1">
      <x:c r="A24" s="3"/>
      <x:c r="B24" s="3"/>
      <x:c r="C24" s="3" t="str">
        <x:v>Commercial launch revenue</x:v>
      </x:c>
      <x:c r="D24" s="25" t="n">
        <x:f>D15*D16</x:f>
        <x:v>4154</x:v>
      </x:c>
      <x:c r="E24" s="25" t="n">
        <x:f>E15*E16</x:f>
        <x:v>5135</x:v>
      </x:c>
      <x:c r="F24" s="26" t="n">
        <x:f>F15*F16</x:f>
        <x:v>6120</x:v>
      </x:c>
      <x:c r="G24" s="26" t="n">
        <x:f>G15*G16</x:f>
        <x:v>7210</x:v>
      </x:c>
      <x:c r="H24" s="26" t="n">
        <x:f>H15*H16</x:f>
        <x:v>8568</x:v>
      </x:c>
      <x:c r="I24" s="26" t="n">
        <x:f>I15*I16</x:f>
        <x:v>10138</x:v>
      </x:c>
      <x:c r="J24" s="26" t="n">
        <x:f>J15*J16</x:f>
        <x:v>11932</x:v>
      </x:c>
      <x:c r="K24" s="3"/>
      <x:c r="L24" s="3"/>
      <x:c r="M24" s="3"/>
      <x:c r="N24" s="3"/>
      <x:c r="O24" s="3"/>
      <x:c r="P24" s="3"/>
      <x:c r="Q24" s="3"/>
      <x:c r="R24" s="3"/>
      <x:c r="S24" s="3"/>
    </x:row>
    <x:row r="25" ht="21" customHeight="1">
      <x:c r="A25" s="3"/>
      <x:c r="B25" s="3"/>
      <x:c r="C25" s="3" t="str">
        <x:v>Government launch revenue</x:v>
      </x:c>
      <x:c r="D25" s="25" t="n">
        <x:f>D14*D17</x:f>
        <x:v>1955</x:v>
      </x:c>
      <x:c r="E25" s="25" t="n">
        <x:f>E14*E17</x:f>
        <x:v>2288</x:v>
      </x:c>
      <x:c r="F25" s="26" t="n">
        <x:f>F14*F17</x:f>
        <x:v>2760</x:v>
      </x:c>
      <x:c r="G25" s="26" t="n">
        <x:f>G14*G17</x:f>
        <x:v>3360</x:v>
      </x:c>
      <x:c r="H25" s="26" t="n">
        <x:f>H14*H17</x:f>
        <x:v>4000</x:v>
      </x:c>
      <x:c r="I25" s="26" t="n">
        <x:f>I14*I17</x:f>
        <x:v>4784</x:v>
      </x:c>
      <x:c r="J25" s="26" t="n">
        <x:f>J14*J17</x:f>
        <x:v>5724</x:v>
      </x:c>
      <x:c r="K25" s="3"/>
      <x:c r="L25" s="3"/>
      <x:c r="M25" s="3"/>
      <x:c r="N25" s="3"/>
      <x:c r="O25" s="3"/>
      <x:c r="P25" s="3"/>
      <x:c r="Q25" s="3"/>
      <x:c r="R25" s="3"/>
      <x:c r="S25" s="3"/>
    </x:row>
    <x:row r="26" ht="21" customHeight="1">
      <x:c r="A26" s="3"/>
      <x:c r="B26" s="3"/>
      <x:c r="C26" s="3" t="str">
        <x:v>Heavy-lift launch revenue</x:v>
      </x:c>
      <x:c r="D26" s="25" t="n">
        <x:f>D18*D19</x:f>
        <x:v>840</x:v>
      </x:c>
      <x:c r="E26" s="25" t="n">
        <x:f>E18*E19</x:f>
        <x:v>1160</x:v>
      </x:c>
      <x:c r="F26" s="26" t="n">
        <x:f>F18*F19</x:f>
        <x:v>1800</x:v>
      </x:c>
      <x:c r="G26" s="26" t="n">
        <x:f>G18*G19</x:f>
        <x:v>2790</x:v>
      </x:c>
      <x:c r="H26" s="26" t="n">
        <x:f>H18*H19</x:f>
        <x:v>3840</x:v>
      </x:c>
      <x:c r="I26" s="26" t="n">
        <x:f>I18*I19</x:f>
        <x:v>4950</x:v>
      </x:c>
      <x:c r="J26" s="26" t="n">
        <x:f>J18*J19</x:f>
        <x:v>6120</x:v>
      </x:c>
      <x:c r="K26" s="3"/>
      <x:c r="L26" s="3"/>
      <x:c r="M26" s="3"/>
      <x:c r="N26" s="3"/>
      <x:c r="O26" s="3"/>
      <x:c r="P26" s="3"/>
      <x:c r="Q26" s="3"/>
      <x:c r="R26" s="3"/>
      <x:c r="S26" s="3"/>
    </x:row>
    <x:row r="27" ht="25" customHeight="1">
      <x:c r="A27" s="3"/>
      <x:c r="B27" s="3"/>
      <x:c r="C27" s="54" t="str">
        <x:v>Total launch revenue</x:v>
      </x:c>
      <x:c r="D27" s="55" t="n">
        <x:f>SUM(D24:D26)</x:f>
        <x:v>6949</x:v>
      </x:c>
      <x:c r="E27" s="55" t="n">
        <x:f>SUM(E24:E26)</x:f>
        <x:v>8583</x:v>
      </x:c>
      <x:c r="F27" s="55" t="n">
        <x:f>SUM(F24:F26)</x:f>
        <x:v>10680</x:v>
      </x:c>
      <x:c r="G27" s="55" t="n">
        <x:f>SUM(G24:G26)</x:f>
        <x:v>13360</x:v>
      </x:c>
      <x:c r="H27" s="55" t="n">
        <x:f>SUM(H24:H26)</x:f>
        <x:v>16408</x:v>
      </x:c>
      <x:c r="I27" s="55" t="n">
        <x:f>SUM(I24:I26)</x:f>
        <x:v>19872</x:v>
      </x:c>
      <x:c r="J27" s="55" t="n">
        <x:f>SUM(J24:J26)</x:f>
        <x:v>23776</x:v>
      </x:c>
      <x:c r="K27" s="3"/>
      <x:c r="L27" s="3"/>
      <x:c r="M27" s="3"/>
      <x:c r="N27" s="3"/>
      <x:c r="O27" s="3"/>
      <x:c r="P27" s="3"/>
      <x:c r="Q27" s="3"/>
      <x:c r="R27" s="3"/>
      <x:c r="S27" s="3"/>
    </x:row>
    <x:row r="28" ht="25" customHeight="1">
      <x:c r="A28" s="3"/>
      <x:c r="B28" s="3"/>
      <x:c r="C28" s="54" t="str">
        <x:v>Total launch operating costs</x:v>
      </x:c>
      <x:c r="D28" s="55" t="n">
        <x:f>D11*D20+D18*D21+D22</x:f>
        <x:v>3640</x:v>
      </x:c>
      <x:c r="E28" s="55" t="n">
        <x:f>E11*E20+E18*E21+E22</x:f>
        <x:v>4406</x:v>
      </x:c>
      <x:c r="F28" s="55" t="n">
        <x:f>F11*F20+F18*F21+F22</x:f>
        <x:v>5360</x:v>
      </x:c>
      <x:c r="G28" s="55" t="n">
        <x:f>G11*G20+G18*G21+G22</x:f>
        <x:v>6432</x:v>
      </x:c>
      <x:c r="H28" s="55" t="n">
        <x:f>H11*H20+H18*H21+H22</x:f>
        <x:v>7414</x:v>
      </x:c>
      <x:c r="I28" s="55" t="n">
        <x:f>I11*I20+I18*I21+I22</x:f>
        <x:v>8427</x:v>
      </x:c>
      <x:c r="J28" s="55" t="n">
        <x:f>J11*J20+J18*J21+J22</x:f>
        <x:v>9452</x:v>
      </x:c>
      <x:c r="K28" s="3"/>
      <x:c r="L28" s="3"/>
      <x:c r="M28" s="3"/>
      <x:c r="N28" s="3"/>
      <x:c r="O28" s="3"/>
      <x:c r="P28" s="3"/>
      <x:c r="Q28" s="3"/>
      <x:c r="R28" s="3"/>
      <x:c r="S28" s="3"/>
    </x:row>
    <x:row r="29" ht="21" customHeight="1">
      <x:c r="A29" s="3"/>
      <x:c r="B29" s="3"/>
      <x:c r="C29" s="3"/>
      <x:c r="D29" s="25"/>
      <x:c r="E29" s="25"/>
      <x:c r="F29" s="26"/>
      <x:c r="G29" s="26"/>
      <x:c r="H29" s="26"/>
      <x:c r="I29" s="26"/>
      <x:c r="J29" s="26"/>
      <x:c r="K29" s="3"/>
      <x:c r="L29" s="3"/>
      <x:c r="M29" s="3"/>
      <x:c r="N29" s="3"/>
      <x:c r="O29" s="3"/>
      <x:c r="P29" s="3"/>
      <x:c r="Q29" s="3"/>
      <x:c r="R29" s="3"/>
      <x:c r="S29" s="3"/>
    </x:row>
    <x:row r="30" ht="24" customHeight="1">
      <x:c r="A30" s="3"/>
      <x:c r="B30" s="3"/>
      <x:c r="C30" s="34" t="str">
        <x:v>SATELLITE CONNECTIVITY</x:v>
      </x:c>
      <x:c r="D30" s="35"/>
      <x:c r="E30" s="35"/>
      <x:c r="F30" s="35"/>
      <x:c r="G30" s="35"/>
      <x:c r="H30" s="35"/>
      <x:c r="I30" s="35"/>
      <x:c r="J30" s="35"/>
      <x:c r="K30" s="3"/>
      <x:c r="L30" s="3"/>
      <x:c r="M30" s="3"/>
      <x:c r="N30" s="3"/>
      <x:c r="O30" s="3"/>
      <x:c r="P30" s="3"/>
      <x:c r="Q30" s="3"/>
      <x:c r="R30" s="3"/>
      <x:c r="S30" s="3"/>
    </x:row>
    <x:row r="31" ht="21" customHeight="1">
      <x:c r="A31" s="3"/>
      <x:c r="B31" s="3"/>
      <x:c r="C31" s="3" t="str">
        <x:v>Opening subscribers (M)</x:v>
      </x:c>
      <x:c r="D31" s="46" t="n">
        <x:v>3</x:v>
      </x:c>
      <x:c r="E31" s="46" t="n">
        <x:f>D35</x:f>
        <x:v>4.56</x:v>
      </x:c>
      <x:c r="F31" s="47" t="n">
        <x:f>E35</x:f>
        <x:v>6.595199999999999</x:v>
      </x:c>
      <x:c r="G31" s="47" t="n">
        <x:f>F35</x:f>
        <x:v>9.067583999999998</x:v>
      </x:c>
      <x:c r="H31" s="47" t="n">
        <x:f>G35</x:f>
        <x:v>11.642177279999997</x:v>
      </x:c>
      <x:c r="I31" s="47" t="n">
        <x:f>H35</x:f>
        <x:v>14.310803097599997</x:v>
      </x:c>
      <x:c r="J31" s="47" t="n">
        <x:f>I35</x:f>
        <x:v>17.165938849792</x:v>
      </x:c>
      <x:c r="K31" s="3"/>
      <x:c r="L31" s="3"/>
      <x:c r="M31" s="3"/>
      <x:c r="N31" s="3"/>
      <x:c r="O31" s="3"/>
      <x:c r="P31" s="3"/>
      <x:c r="Q31" s="3"/>
      <x:c r="R31" s="3"/>
      <x:c r="S31" s="3"/>
    </x:row>
    <x:row r="32" ht="21" customHeight="1">
      <x:c r="A32" s="3"/>
      <x:c r="B32" s="3"/>
      <x:c r="C32" s="3" t="str">
        <x:v>Gross subscriber additions (M)</x:v>
      </x:c>
      <x:c r="D32" s="48" t="n">
        <x:v>1.8</x:v>
      </x:c>
      <x:c r="E32" s="48" t="n">
        <x:v>2.4</x:v>
      </x:c>
      <x:c r="F32" s="49" t="n">
        <x:v>3</x:v>
      </x:c>
      <x:c r="G32" s="49" t="n">
        <x:v>3.3</x:v>
      </x:c>
      <x:c r="H32" s="49" t="n">
        <x:v>3.6</x:v>
      </x:c>
      <x:c r="I32" s="49" t="n">
        <x:v>4</x:v>
      </x:c>
      <x:c r="J32" s="49" t="n">
        <x:v>4.2</x:v>
      </x:c>
      <x:c r="K32" s="3"/>
      <x:c r="L32" s="3"/>
      <x:c r="M32" s="3"/>
      <x:c r="N32" s="3"/>
      <x:c r="O32" s="3"/>
      <x:c r="P32" s="3"/>
      <x:c r="Q32" s="3"/>
      <x:c r="R32" s="3"/>
      <x:c r="S32" s="3"/>
    </x:row>
    <x:row r="33" ht="21" customHeight="1">
      <x:c r="A33" s="3"/>
      <x:c r="B33" s="3"/>
      <x:c r="C33" s="3" t="str">
        <x:v>Annual churn rate</x:v>
      </x:c>
      <x:c r="D33" s="45" t="n">
        <x:v>0.08</x:v>
      </x:c>
      <x:c r="E33" s="45" t="n">
        <x:v>0.08</x:v>
      </x:c>
      <x:c r="F33" s="44" t="n">
        <x:v>0.08</x:v>
      </x:c>
      <x:c r="G33" s="44" t="n">
        <x:v>0.08</x:v>
      </x:c>
      <x:c r="H33" s="44" t="n">
        <x:v>0.08</x:v>
      </x:c>
      <x:c r="I33" s="44" t="n">
        <x:v>0.08</x:v>
      </x:c>
      <x:c r="J33" s="44" t="n">
        <x:v>0.08</x:v>
      </x:c>
      <x:c r="K33" s="3"/>
      <x:c r="L33" s="3"/>
      <x:c r="M33" s="3"/>
      <x:c r="N33" s="3"/>
      <x:c r="O33" s="3"/>
      <x:c r="P33" s="3"/>
      <x:c r="Q33" s="3"/>
      <x:c r="R33" s="3"/>
      <x:c r="S33" s="3"/>
    </x:row>
    <x:row r="34" ht="21" customHeight="1">
      <x:c r="A34" s="3"/>
      <x:c r="B34" s="3"/>
      <x:c r="C34" s="3" t="str">
        <x:v>Subscriber losses (M)</x:v>
      </x:c>
      <x:c r="D34" s="46" t="n">
        <x:f>D31*D33</x:f>
        <x:v>0.24</x:v>
      </x:c>
      <x:c r="E34" s="46" t="n">
        <x:f>E31*E33</x:f>
        <x:v>0.36479999999999996</x:v>
      </x:c>
      <x:c r="F34" s="47" t="n">
        <x:f>F31*F33</x:f>
        <x:v>0.527616</x:v>
      </x:c>
      <x:c r="G34" s="47" t="n">
        <x:f>G31*G33</x:f>
        <x:v>0.7254067199999998</x:v>
      </x:c>
      <x:c r="H34" s="47" t="n">
        <x:f>H31*H33</x:f>
        <x:v>0.9313741823999998</x:v>
      </x:c>
      <x:c r="I34" s="47" t="n">
        <x:f>I31*I33</x:f>
        <x:v>1.1448642478079998</x:v>
      </x:c>
      <x:c r="J34" s="47" t="n">
        <x:f>J31*J33</x:f>
        <x:v>1.37327510798336</x:v>
      </x:c>
      <x:c r="K34" s="3"/>
      <x:c r="L34" s="3"/>
      <x:c r="M34" s="3"/>
      <x:c r="N34" s="3"/>
      <x:c r="O34" s="3"/>
      <x:c r="P34" s="3"/>
      <x:c r="Q34" s="3"/>
      <x:c r="R34" s="3"/>
      <x:c r="S34" s="3"/>
    </x:row>
    <x:row r="35" ht="25" customHeight="1">
      <x:c r="A35" s="3"/>
      <x:c r="B35" s="3"/>
      <x:c r="C35" s="54" t="str">
        <x:v>Ending subscribers (M)</x:v>
      </x:c>
      <x:c r="D35" s="58" t="n">
        <x:f>SUM(D31:D32)-D34</x:f>
        <x:v>4.56</x:v>
      </x:c>
      <x:c r="E35" s="58" t="n">
        <x:f>SUM(E31:E32)-E34</x:f>
        <x:v>6.595199999999999</x:v>
      </x:c>
      <x:c r="F35" s="58" t="n">
        <x:f>SUM(F31:F32)-F34</x:f>
        <x:v>9.067583999999998</x:v>
      </x:c>
      <x:c r="G35" s="58" t="n">
        <x:f>SUM(G31:G32)-G34</x:f>
        <x:v>11.642177279999997</x:v>
      </x:c>
      <x:c r="H35" s="58" t="n">
        <x:f>SUM(H31:H32)-H34</x:f>
        <x:v>14.310803097599997</x:v>
      </x:c>
      <x:c r="I35" s="58" t="n">
        <x:f>SUM(I31:I32)-I34</x:f>
        <x:v>17.165938849792</x:v>
      </x:c>
      <x:c r="J35" s="58" t="n">
        <x:f>SUM(J31:J32)-J34</x:f>
        <x:v>19.992663741808638</x:v>
      </x:c>
      <x:c r="K35" s="3"/>
      <x:c r="L35" s="3"/>
      <x:c r="M35" s="3"/>
      <x:c r="N35" s="3"/>
      <x:c r="O35" s="3"/>
      <x:c r="P35" s="3"/>
      <x:c r="Q35" s="3"/>
      <x:c r="R35" s="3"/>
      <x:c r="S35" s="3"/>
    </x:row>
    <x:row r="36" ht="21" customHeight="1">
      <x:c r="A36" s="3"/>
      <x:c r="B36" s="3"/>
      <x:c r="C36" s="3" t="str">
        <x:v>Average subscribers (M)</x:v>
      </x:c>
      <x:c r="D36" s="46" t="n">
        <x:f>AVERAGE(D31,D35)</x:f>
        <x:v>3.78</x:v>
      </x:c>
      <x:c r="E36" s="46" t="n">
        <x:f>AVERAGE(E31,E35)</x:f>
        <x:v>5.5775999999999994</x:v>
      </x:c>
      <x:c r="F36" s="47" t="n">
        <x:f>AVERAGE(F31,F35)</x:f>
        <x:v>7.831391999999999</x:v>
      </x:c>
      <x:c r="G36" s="47" t="n">
        <x:f>AVERAGE(G31,G35)</x:f>
        <x:v>10.354880639999998</x:v>
      </x:c>
      <x:c r="H36" s="47" t="n">
        <x:f>AVERAGE(H31,H35)</x:f>
        <x:v>12.976490188799996</x:v>
      </x:c>
      <x:c r="I36" s="47" t="n">
        <x:f>AVERAGE(I31,I35)</x:f>
        <x:v>15.738370973695998</x:v>
      </x:c>
      <x:c r="J36" s="47" t="n">
        <x:f>AVERAGE(J31,J35)</x:f>
        <x:v>18.57930129580032</x:v>
      </x:c>
      <x:c r="K36" s="3"/>
      <x:c r="L36" s="3"/>
      <x:c r="M36" s="3"/>
      <x:c r="N36" s="3"/>
      <x:c r="O36" s="3"/>
      <x:c r="P36" s="3"/>
      <x:c r="Q36" s="3"/>
      <x:c r="R36" s="3"/>
      <x:c r="S36" s="3"/>
    </x:row>
    <x:row r="37" ht="21" customHeight="1">
      <x:c r="A37" s="3"/>
      <x:c r="B37" s="3"/>
      <x:c r="C37" s="3" t="str">
        <x:v>Monthly ARPU ($)</x:v>
      </x:c>
      <x:c r="D37" s="37" t="n">
        <x:v>95</x:v>
      </x:c>
      <x:c r="E37" s="37" t="n">
        <x:v>94</x:v>
      </x:c>
      <x:c r="F37" s="30" t="n">
        <x:v>93</x:v>
      </x:c>
      <x:c r="G37" s="30" t="n">
        <x:v>92</x:v>
      </x:c>
      <x:c r="H37" s="30" t="n">
        <x:v>91</x:v>
      </x:c>
      <x:c r="I37" s="30" t="n">
        <x:v>90</x:v>
      </x:c>
      <x:c r="J37" s="30" t="n">
        <x:v>89</x:v>
      </x:c>
      <x:c r="K37" s="3"/>
      <x:c r="L37" s="3"/>
      <x:c r="M37" s="3"/>
      <x:c r="N37" s="3"/>
      <x:c r="O37" s="3"/>
      <x:c r="P37" s="3"/>
      <x:c r="Q37" s="3"/>
      <x:c r="R37" s="3"/>
      <x:c r="S37" s="3"/>
    </x:row>
    <x:row r="38" ht="21" customHeight="1">
      <x:c r="A38" s="3"/>
      <x:c r="B38" s="3"/>
      <x:c r="C38" s="3" t="str">
        <x:v>Monthly network cost / user ($)</x:v>
      </x:c>
      <x:c r="D38" s="37" t="n">
        <x:v>33</x:v>
      </x:c>
      <x:c r="E38" s="37" t="n">
        <x:v>32</x:v>
      </x:c>
      <x:c r="F38" s="30" t="n">
        <x:v>31</x:v>
      </x:c>
      <x:c r="G38" s="30" t="n">
        <x:v>30</x:v>
      </x:c>
      <x:c r="H38" s="30" t="n">
        <x:v>29</x:v>
      </x:c>
      <x:c r="I38" s="30" t="n">
        <x:v>28</x:v>
      </x:c>
      <x:c r="J38" s="30" t="n">
        <x:v>27</x:v>
      </x:c>
      <x:c r="K38" s="3"/>
      <x:c r="L38" s="3"/>
      <x:c r="M38" s="3"/>
      <x:c r="N38" s="3"/>
      <x:c r="O38" s="3"/>
      <x:c r="P38" s="3"/>
      <x:c r="Q38" s="3"/>
      <x:c r="R38" s="3"/>
      <x:c r="S38" s="3"/>
    </x:row>
    <x:row r="39" ht="21" customHeight="1">
      <x:c r="A39" s="3"/>
      <x:c r="B39" s="3"/>
      <x:c r="C39" s="3" t="str">
        <x:v>Terminal selling price ($)</x:v>
      </x:c>
      <x:c r="D39" s="37" t="n">
        <x:v>400</x:v>
      </x:c>
      <x:c r="E39" s="37" t="n">
        <x:v>390</x:v>
      </x:c>
      <x:c r="F39" s="30" t="n">
        <x:v>380</x:v>
      </x:c>
      <x:c r="G39" s="30" t="n">
        <x:v>370</x:v>
      </x:c>
      <x:c r="H39" s="30" t="n">
        <x:v>360</x:v>
      </x:c>
      <x:c r="I39" s="30" t="n">
        <x:v>350</x:v>
      </x:c>
      <x:c r="J39" s="30" t="n">
        <x:v>340</x:v>
      </x:c>
      <x:c r="K39" s="3"/>
      <x:c r="L39" s="3"/>
      <x:c r="M39" s="3"/>
      <x:c r="N39" s="3"/>
      <x:c r="O39" s="3"/>
      <x:c r="P39" s="3"/>
      <x:c r="Q39" s="3"/>
      <x:c r="R39" s="3"/>
      <x:c r="S39" s="3"/>
    </x:row>
    <x:row r="40" ht="21" customHeight="1">
      <x:c r="A40" s="3"/>
      <x:c r="B40" s="3"/>
      <x:c r="C40" s="3" t="str">
        <x:v>Terminal manufacturing cost ($)</x:v>
      </x:c>
      <x:c r="D40" s="37" t="n">
        <x:v>420</x:v>
      </x:c>
      <x:c r="E40" s="37" t="n">
        <x:v>400</x:v>
      </x:c>
      <x:c r="F40" s="30" t="n">
        <x:v>370</x:v>
      </x:c>
      <x:c r="G40" s="30" t="n">
        <x:v>350</x:v>
      </x:c>
      <x:c r="H40" s="30" t="n">
        <x:v>330</x:v>
      </x:c>
      <x:c r="I40" s="30" t="n">
        <x:v>310</x:v>
      </x:c>
      <x:c r="J40" s="30" t="n">
        <x:v>290</x:v>
      </x:c>
      <x:c r="K40" s="3"/>
      <x:c r="L40" s="3"/>
      <x:c r="M40" s="3"/>
      <x:c r="N40" s="3"/>
      <x:c r="O40" s="3"/>
      <x:c r="P40" s="3"/>
      <x:c r="Q40" s="3"/>
      <x:c r="R40" s="3"/>
      <x:c r="S40" s="3"/>
    </x:row>
    <x:row r="41" ht="21" customHeight="1">
      <x:c r="A41" s="3"/>
      <x:c r="B41" s="3"/>
      <x:c r="C41" s="3"/>
      <x:c r="D41" s="25"/>
      <x:c r="E41" s="25"/>
      <x:c r="F41" s="26"/>
      <x:c r="G41" s="26"/>
      <x:c r="H41" s="26"/>
      <x:c r="I41" s="26"/>
      <x:c r="J41" s="26"/>
      <x:c r="K41" s="3"/>
      <x:c r="L41" s="3"/>
      <x:c r="M41" s="3"/>
      <x:c r="N41" s="3"/>
      <x:c r="O41" s="3"/>
      <x:c r="P41" s="3"/>
      <x:c r="Q41" s="3"/>
      <x:c r="R41" s="3"/>
      <x:c r="S41" s="3"/>
    </x:row>
    <x:row r="42" ht="25" customHeight="1">
      <x:c r="A42" s="3"/>
      <x:c r="B42" s="3"/>
      <x:c r="C42" s="54" t="str">
        <x:v>Subscription service revenue</x:v>
      </x:c>
      <x:c r="D42" s="55" t="n">
        <x:f>D36*D37*12</x:f>
        <x:v>4309.2</x:v>
      </x:c>
      <x:c r="E42" s="55" t="n">
        <x:f>E36*E37*12</x:f>
        <x:v>6291.5328</x:v>
      </x:c>
      <x:c r="F42" s="55" t="n">
        <x:f>F36*F37*12</x:f>
        <x:v>8739.833471999998</x:v>
      </x:c>
      <x:c r="G42" s="55" t="n">
        <x:f>G36*G37*12</x:f>
        <x:v>11431.788226559996</x:v>
      </x:c>
      <x:c r="H42" s="55" t="n">
        <x:f>H36*H37*12</x:f>
        <x:v>14170.327286169595</x:v>
      </x:c>
      <x:c r="I42" s="55" t="n">
        <x:f>I36*I37*12</x:f>
        <x:v>16997.440651591678</x:v>
      </x:c>
      <x:c r="J42" s="55" t="n">
        <x:f>J36*J37*12</x:f>
        <x:v>19842.693783914743</x:v>
      </x:c>
      <x:c r="K42" s="3"/>
      <x:c r="L42" s="3"/>
      <x:c r="M42" s="3"/>
      <x:c r="N42" s="3"/>
      <x:c r="O42" s="3"/>
      <x:c r="P42" s="3"/>
      <x:c r="Q42" s="3"/>
      <x:c r="R42" s="3"/>
      <x:c r="S42" s="3"/>
    </x:row>
    <x:row r="43" ht="21" customHeight="1">
      <x:c r="A43" s="3"/>
      <x:c r="B43" s="3"/>
      <x:c r="C43" s="3" t="str">
        <x:v>Terminal and equipment revenue</x:v>
      </x:c>
      <x:c r="D43" s="25" t="n">
        <x:f>D32*D39</x:f>
        <x:v>720</x:v>
      </x:c>
      <x:c r="E43" s="25" t="n">
        <x:f>E32*E39</x:f>
        <x:v>936</x:v>
      </x:c>
      <x:c r="F43" s="26" t="n">
        <x:f>F32*F39</x:f>
        <x:v>1140</x:v>
      </x:c>
      <x:c r="G43" s="26" t="n">
        <x:f>G32*G39</x:f>
        <x:v>1221</x:v>
      </x:c>
      <x:c r="H43" s="26" t="n">
        <x:f>H32*H39</x:f>
        <x:v>1296</x:v>
      </x:c>
      <x:c r="I43" s="26" t="n">
        <x:f>I32*I39</x:f>
        <x:v>1400</x:v>
      </x:c>
      <x:c r="J43" s="26" t="n">
        <x:f>J32*J39</x:f>
        <x:v>1428</x:v>
      </x:c>
      <x:c r="K43" s="3"/>
      <x:c r="L43" s="3"/>
      <x:c r="M43" s="3"/>
      <x:c r="N43" s="3"/>
      <x:c r="O43" s="3"/>
      <x:c r="P43" s="3"/>
      <x:c r="Q43" s="3"/>
      <x:c r="R43" s="3"/>
      <x:c r="S43" s="3"/>
    </x:row>
    <x:row r="44" ht="21" customHeight="1">
      <x:c r="A44" s="3"/>
      <x:c r="B44" s="3"/>
      <x:c r="C44" s="3" t="str">
        <x:v>Connectivity network costs</x:v>
      </x:c>
      <x:c r="D44" s="25" t="n">
        <x:f>D36*D38*12</x:f>
        <x:v>1496.8799999999999</x:v>
      </x:c>
      <x:c r="E44" s="25" t="n">
        <x:f>E36*E38*12</x:f>
        <x:v>2141.7983999999997</x:v>
      </x:c>
      <x:c r="F44" s="26" t="n">
        <x:f>F36*F38*12</x:f>
        <x:v>2913.277824</x:v>
      </x:c>
      <x:c r="G44" s="26" t="n">
        <x:f>G36*G38*12</x:f>
        <x:v>3727.757030399999</x:v>
      </x:c>
      <x:c r="H44" s="26" t="n">
        <x:f>H36*H38*12</x:f>
        <x:v>4515.818585702399</x:v>
      </x:c>
      <x:c r="I44" s="26" t="n">
        <x:f>I36*I38*12</x:f>
        <x:v>5288.092647161856</x:v>
      </x:c>
      <x:c r="J44" s="26" t="n">
        <x:f>J36*J38*12</x:f>
        <x:v>6019.693619839304</x:v>
      </x:c>
      <x:c r="K44" s="3"/>
      <x:c r="L44" s="3"/>
      <x:c r="M44" s="3"/>
      <x:c r="N44" s="3"/>
      <x:c r="O44" s="3"/>
      <x:c r="P44" s="3"/>
      <x:c r="Q44" s="3"/>
      <x:c r="R44" s="3"/>
      <x:c r="S44" s="3"/>
    </x:row>
    <x:row r="45" ht="21" customHeight="1">
      <x:c r="A45" s="3"/>
      <x:c r="B45" s="3"/>
      <x:c r="C45" s="3" t="str">
        <x:v>Terminal manufacturing costs</x:v>
      </x:c>
      <x:c r="D45" s="25" t="n">
        <x:f>D32*D40</x:f>
        <x:v>756</x:v>
      </x:c>
      <x:c r="E45" s="25" t="n">
        <x:f>E32*E40</x:f>
        <x:v>960</x:v>
      </x:c>
      <x:c r="F45" s="26" t="n">
        <x:f>F32*F40</x:f>
        <x:v>1110</x:v>
      </x:c>
      <x:c r="G45" s="26" t="n">
        <x:f>G32*G40</x:f>
        <x:v>1155</x:v>
      </x:c>
      <x:c r="H45" s="26" t="n">
        <x:f>H32*H40</x:f>
        <x:v>1188</x:v>
      </x:c>
      <x:c r="I45" s="26" t="n">
        <x:f>I32*I40</x:f>
        <x:v>1240</x:v>
      </x:c>
      <x:c r="J45" s="26" t="n">
        <x:f>J32*J40</x:f>
        <x:v>1218</x:v>
      </x:c>
      <x:c r="K45" s="3"/>
      <x:c r="L45" s="3"/>
      <x:c r="M45" s="3"/>
      <x:c r="N45" s="3"/>
      <x:c r="O45" s="3"/>
      <x:c r="P45" s="3"/>
      <x:c r="Q45" s="3"/>
      <x:c r="R45" s="3"/>
      <x:c r="S45" s="3"/>
    </x:row>
    <x:row r="46" ht="21" customHeight="1">
      <x:c r="A46" s="3"/>
      <x:c r="B46" s="3"/>
      <x:c r="C46" s="3"/>
      <x:c r="D46" s="25"/>
      <x:c r="E46" s="25"/>
      <x:c r="F46" s="26"/>
      <x:c r="G46" s="26"/>
      <x:c r="H46" s="26"/>
      <x:c r="I46" s="26"/>
      <x:c r="J46" s="26"/>
      <x:c r="K46" s="3"/>
      <x:c r="L46" s="3"/>
      <x:c r="M46" s="3"/>
      <x:c r="N46" s="3"/>
      <x:c r="O46" s="3"/>
      <x:c r="P46" s="3"/>
      <x:c r="Q46" s="3"/>
      <x:c r="R46" s="3"/>
      <x:c r="S46" s="3"/>
    </x:row>
    <x:row r="47" ht="24" customHeight="1">
      <x:c r="A47" s="3"/>
      <x:c r="B47" s="3"/>
      <x:c r="C47" s="34" t="str">
        <x:v>GOVERNMENT PROGRAMS</x:v>
      </x:c>
      <x:c r="D47" s="35"/>
      <x:c r="E47" s="35"/>
      <x:c r="F47" s="35"/>
      <x:c r="G47" s="35"/>
      <x:c r="H47" s="35"/>
      <x:c r="I47" s="35"/>
      <x:c r="J47" s="35"/>
      <x:c r="K47" s="3"/>
      <x:c r="L47" s="3"/>
      <x:c r="M47" s="3"/>
      <x:c r="N47" s="3"/>
      <x:c r="O47" s="3"/>
      <x:c r="P47" s="3"/>
      <x:c r="Q47" s="3"/>
      <x:c r="R47" s="3"/>
      <x:c r="S47" s="3"/>
    </x:row>
    <x:row r="48" ht="21" customHeight="1">
      <x:c r="A48" s="3"/>
      <x:c r="B48" s="3"/>
      <x:c r="C48" s="3" t="str">
        <x:v>Government program backlog</x:v>
      </x:c>
      <x:c r="D48" s="37" t="n">
        <x:v>4000</x:v>
      </x:c>
      <x:c r="E48" s="37" t="n">
        <x:v>4800</x:v>
      </x:c>
      <x:c r="F48" s="30" t="n">
        <x:v>5600</x:v>
      </x:c>
      <x:c r="G48" s="30" t="n">
        <x:v>6400</x:v>
      </x:c>
      <x:c r="H48" s="30" t="n">
        <x:v>7200</x:v>
      </x:c>
      <x:c r="I48" s="30" t="n">
        <x:v>8000</x:v>
      </x:c>
      <x:c r="J48" s="30" t="n">
        <x:v>8800</x:v>
      </x:c>
      <x:c r="K48" s="3"/>
      <x:c r="L48" s="3"/>
      <x:c r="M48" s="3"/>
      <x:c r="N48" s="3"/>
      <x:c r="O48" s="3"/>
      <x:c r="P48" s="3"/>
      <x:c r="Q48" s="3"/>
      <x:c r="R48" s="3"/>
      <x:c r="S48" s="3"/>
    </x:row>
    <x:row r="49" ht="21" customHeight="1">
      <x:c r="A49" s="3"/>
      <x:c r="B49" s="3"/>
      <x:c r="C49" s="3" t="str">
        <x:v>Annual revenue recognition</x:v>
      </x:c>
      <x:c r="D49" s="45" t="n">
        <x:v>0.3</x:v>
      </x:c>
      <x:c r="E49" s="45" t="n">
        <x:v>0.3</x:v>
      </x:c>
      <x:c r="F49" s="44" t="n">
        <x:v>0.3</x:v>
      </x:c>
      <x:c r="G49" s="44" t="n">
        <x:v>0.3</x:v>
      </x:c>
      <x:c r="H49" s="44" t="n">
        <x:v>0.3</x:v>
      </x:c>
      <x:c r="I49" s="44" t="n">
        <x:v>0.3</x:v>
      </x:c>
      <x:c r="J49" s="44" t="n">
        <x:v>0.3</x:v>
      </x:c>
      <x:c r="K49" s="3"/>
      <x:c r="L49" s="3"/>
      <x:c r="M49" s="3"/>
      <x:c r="N49" s="3"/>
      <x:c r="O49" s="3"/>
      <x:c r="P49" s="3"/>
      <x:c r="Q49" s="3"/>
      <x:c r="R49" s="3"/>
      <x:c r="S49" s="3"/>
    </x:row>
    <x:row r="50" ht="21" customHeight="1">
      <x:c r="A50" s="3"/>
      <x:c r="B50" s="3"/>
      <x:c r="C50" s="3" t="str">
        <x:v>Program delivery cost / revenue</x:v>
      </x:c>
      <x:c r="D50" s="45" t="n">
        <x:v>0.65</x:v>
      </x:c>
      <x:c r="E50" s="45" t="n">
        <x:v>0.65</x:v>
      </x:c>
      <x:c r="F50" s="44" t="n">
        <x:v>0.65</x:v>
      </x:c>
      <x:c r="G50" s="44" t="n">
        <x:v>0.65</x:v>
      </x:c>
      <x:c r="H50" s="44" t="n">
        <x:v>0.65</x:v>
      </x:c>
      <x:c r="I50" s="44" t="n">
        <x:v>0.65</x:v>
      </x:c>
      <x:c r="J50" s="44" t="n">
        <x:v>0.65</x:v>
      </x:c>
      <x:c r="K50" s="3"/>
      <x:c r="L50" s="3"/>
      <x:c r="M50" s="3"/>
      <x:c r="N50" s="3"/>
      <x:c r="O50" s="3"/>
      <x:c r="P50" s="3"/>
      <x:c r="Q50" s="3"/>
      <x:c r="R50" s="3"/>
      <x:c r="S50" s="3"/>
    </x:row>
    <x:row r="51" ht="25" customHeight="1">
      <x:c r="A51" s="3"/>
      <x:c r="B51" s="3"/>
      <x:c r="C51" s="54" t="str">
        <x:v>Government program revenue</x:v>
      </x:c>
      <x:c r="D51" s="55" t="n">
        <x:f>D48*D49</x:f>
        <x:v>1200</x:v>
      </x:c>
      <x:c r="E51" s="55" t="n">
        <x:f>E48*E49</x:f>
        <x:v>1440</x:v>
      </x:c>
      <x:c r="F51" s="55" t="n">
        <x:f>F48*F49</x:f>
        <x:v>1680</x:v>
      </x:c>
      <x:c r="G51" s="55" t="n">
        <x:f>G48*G49</x:f>
        <x:v>1920</x:v>
      </x:c>
      <x:c r="H51" s="55" t="n">
        <x:f>H48*H49</x:f>
        <x:v>2160</x:v>
      </x:c>
      <x:c r="I51" s="55" t="n">
        <x:f>I48*I49</x:f>
        <x:v>2400</x:v>
      </x:c>
      <x:c r="J51" s="55" t="n">
        <x:f>J48*J49</x:f>
        <x:v>2640</x:v>
      </x:c>
      <x:c r="K51" s="3"/>
      <x:c r="L51" s="3"/>
      <x:c r="M51" s="3"/>
      <x:c r="N51" s="3"/>
      <x:c r="O51" s="3"/>
      <x:c r="P51" s="3"/>
      <x:c r="Q51" s="3"/>
      <x:c r="R51" s="3"/>
      <x:c r="S51" s="3"/>
    </x:row>
    <x:row r="52" ht="21" customHeight="1">
      <x:c r="A52" s="3"/>
      <x:c r="B52" s="3"/>
      <x:c r="C52" s="3" t="str">
        <x:v>Program delivery costs</x:v>
      </x:c>
      <x:c r="D52" s="25" t="n">
        <x:f>D51*D50</x:f>
        <x:v>780</x:v>
      </x:c>
      <x:c r="E52" s="25" t="n">
        <x:f>E51*E50</x:f>
        <x:v>936</x:v>
      </x:c>
      <x:c r="F52" s="26" t="n">
        <x:f>F51*F50</x:f>
        <x:v>1092</x:v>
      </x:c>
      <x:c r="G52" s="26" t="n">
        <x:f>G51*G50</x:f>
        <x:v>1248</x:v>
      </x:c>
      <x:c r="H52" s="26" t="n">
        <x:f>H51*H50</x:f>
        <x:v>1404</x:v>
      </x:c>
      <x:c r="I52" s="26" t="n">
        <x:f>I51*I50</x:f>
        <x:v>1560</x:v>
      </x:c>
      <x:c r="J52" s="26" t="n">
        <x:f>J51*J50</x:f>
        <x:v>1716</x:v>
      </x:c>
      <x:c r="K52" s="3"/>
      <x:c r="L52" s="3"/>
      <x:c r="M52" s="3"/>
      <x:c r="N52" s="3"/>
      <x:c r="O52" s="3"/>
      <x:c r="P52" s="3"/>
      <x:c r="Q52" s="3"/>
      <x:c r="R52" s="3"/>
      <x:c r="S52" s="3"/>
    </x:row>
    <x:row r="53" ht="21" customHeight="1">
      <x:c r="A53" s="3"/>
      <x:c r="B53" s="3"/>
      <x:c r="C53" s="3"/>
      <x:c r="D53" s="25"/>
      <x:c r="E53" s="25"/>
      <x:c r="F53" s="26"/>
      <x:c r="G53" s="26"/>
      <x:c r="H53" s="26"/>
      <x:c r="I53" s="26"/>
      <x:c r="J53" s="26"/>
      <x:c r="K53" s="3"/>
      <x:c r="L53" s="3"/>
      <x:c r="M53" s="3"/>
      <x:c r="N53" s="3"/>
      <x:c r="O53" s="3"/>
      <x:c r="P53" s="3"/>
      <x:c r="Q53" s="3"/>
      <x:c r="R53" s="3"/>
      <x:c r="S53" s="3"/>
    </x:row>
    <x:row r="54" ht="24" customHeight="1">
      <x:c r="A54" s="3"/>
      <x:c r="B54" s="3"/>
      <x:c r="C54" s="34" t="str">
        <x:v>CORPORATE ASSUMPTIONS</x:v>
      </x:c>
      <x:c r="D54" s="35"/>
      <x:c r="E54" s="35"/>
      <x:c r="F54" s="35"/>
      <x:c r="G54" s="35"/>
      <x:c r="H54" s="35"/>
      <x:c r="I54" s="35"/>
      <x:c r="J54" s="35"/>
      <x:c r="K54" s="3"/>
      <x:c r="L54" s="3"/>
      <x:c r="M54" s="3"/>
      <x:c r="N54" s="3"/>
      <x:c r="O54" s="3"/>
      <x:c r="P54" s="3"/>
      <x:c r="Q54" s="3"/>
      <x:c r="R54" s="3"/>
      <x:c r="S54" s="3"/>
    </x:row>
    <x:row r="55" ht="21" customHeight="1">
      <x:c r="A55" s="3"/>
      <x:c r="B55" s="3"/>
      <x:c r="C55" s="3" t="str">
        <x:v>Fixed research and development</x:v>
      </x:c>
      <x:c r="D55" s="37" t="n">
        <x:v>1800</x:v>
      </x:c>
      <x:c r="E55" s="37" t="n">
        <x:v>1900</x:v>
      </x:c>
      <x:c r="F55" s="30" t="n">
        <x:v>2100</x:v>
      </x:c>
      <x:c r="G55" s="30" t="n">
        <x:v>2300</x:v>
      </x:c>
      <x:c r="H55" s="30" t="n">
        <x:v>2500</x:v>
      </x:c>
      <x:c r="I55" s="30" t="n">
        <x:v>2700</x:v>
      </x:c>
      <x:c r="J55" s="30" t="n">
        <x:v>2900</x:v>
      </x:c>
      <x:c r="K55" s="3"/>
      <x:c r="L55" s="3"/>
      <x:c r="M55" s="3"/>
      <x:c r="N55" s="3"/>
      <x:c r="O55" s="3"/>
      <x:c r="P55" s="3"/>
      <x:c r="Q55" s="3"/>
      <x:c r="R55" s="3"/>
      <x:c r="S55" s="3"/>
    </x:row>
    <x:row r="56" ht="21" customHeight="1">
      <x:c r="A56" s="3"/>
      <x:c r="B56" s="3"/>
      <x:c r="C56" s="3" t="str">
        <x:v>Variable R&amp;D / revenue</x:v>
      </x:c>
      <x:c r="D56" s="45" t="n">
        <x:v>0.05</x:v>
      </x:c>
      <x:c r="E56" s="45" t="n">
        <x:v>0.05</x:v>
      </x:c>
      <x:c r="F56" s="44" t="n">
        <x:v>0.05</x:v>
      </x:c>
      <x:c r="G56" s="44" t="n">
        <x:v>0.05</x:v>
      </x:c>
      <x:c r="H56" s="44" t="n">
        <x:v>0.05</x:v>
      </x:c>
      <x:c r="I56" s="44" t="n">
        <x:v>0.05</x:v>
      </x:c>
      <x:c r="J56" s="44" t="n">
        <x:v>0.05</x:v>
      </x:c>
      <x:c r="K56" s="3"/>
      <x:c r="L56" s="3"/>
      <x:c r="M56" s="3"/>
      <x:c r="N56" s="3"/>
      <x:c r="O56" s="3"/>
      <x:c r="P56" s="3"/>
      <x:c r="Q56" s="3"/>
      <x:c r="R56" s="3"/>
      <x:c r="S56" s="3"/>
    </x:row>
    <x:row r="57" ht="21" customHeight="1">
      <x:c r="A57" s="3"/>
      <x:c r="B57" s="3"/>
      <x:c r="C57" s="3" t="str">
        <x:v>Fixed selling, general and admin</x:v>
      </x:c>
      <x:c r="D57" s="37" t="n">
        <x:v>650</x:v>
      </x:c>
      <x:c r="E57" s="37" t="n">
        <x:v>700</x:v>
      </x:c>
      <x:c r="F57" s="30" t="n">
        <x:v>780</x:v>
      </x:c>
      <x:c r="G57" s="30" t="n">
        <x:v>850</x:v>
      </x:c>
      <x:c r="H57" s="30" t="n">
        <x:v>920</x:v>
      </x:c>
      <x:c r="I57" s="30" t="n">
        <x:v>1000</x:v>
      </x:c>
      <x:c r="J57" s="30" t="n">
        <x:v>1080</x:v>
      </x:c>
      <x:c r="K57" s="3"/>
      <x:c r="L57" s="3"/>
      <x:c r="M57" s="3"/>
      <x:c r="N57" s="3"/>
      <x:c r="O57" s="3"/>
      <x:c r="P57" s="3"/>
      <x:c r="Q57" s="3"/>
      <x:c r="R57" s="3"/>
      <x:c r="S57" s="3"/>
    </x:row>
    <x:row r="58" ht="21" customHeight="1">
      <x:c r="A58" s="3"/>
      <x:c r="B58" s="3"/>
      <x:c r="C58" s="3" t="str">
        <x:v>Variable SG&amp;A / revenue</x:v>
      </x:c>
      <x:c r="D58" s="45" t="n">
        <x:v>0.06</x:v>
      </x:c>
      <x:c r="E58" s="45" t="n">
        <x:v>0.06</x:v>
      </x:c>
      <x:c r="F58" s="44" t="n">
        <x:v>0.06</x:v>
      </x:c>
      <x:c r="G58" s="44" t="n">
        <x:v>0.06</x:v>
      </x:c>
      <x:c r="H58" s="44" t="n">
        <x:v>0.06</x:v>
      </x:c>
      <x:c r="I58" s="44" t="n">
        <x:v>0.06</x:v>
      </x:c>
      <x:c r="J58" s="44" t="n">
        <x:v>0.06</x:v>
      </x:c>
      <x:c r="K58" s="3"/>
      <x:c r="L58" s="3"/>
      <x:c r="M58" s="3"/>
      <x:c r="N58" s="3"/>
      <x:c r="O58" s="3"/>
      <x:c r="P58" s="3"/>
      <x:c r="Q58" s="3"/>
      <x:c r="R58" s="3"/>
      <x:c r="S58" s="3"/>
    </x:row>
    <x:row r="59" ht="21" customHeight="1">
      <x:c r="A59" s="3"/>
      <x:c r="B59" s="3"/>
      <x:c r="C59" s="3" t="str">
        <x:v>Effective tax rate</x:v>
      </x:c>
      <x:c r="D59" s="45" t="n">
        <x:v>0.21</x:v>
      </x:c>
      <x:c r="E59" s="45" t="n">
        <x:v>0.21</x:v>
      </x:c>
      <x:c r="F59" s="44" t="n">
        <x:v>0.21</x:v>
      </x:c>
      <x:c r="G59" s="44" t="n">
        <x:v>0.21</x:v>
      </x:c>
      <x:c r="H59" s="44" t="n">
        <x:v>0.21</x:v>
      </x:c>
      <x:c r="I59" s="44" t="n">
        <x:v>0.21</x:v>
      </x:c>
      <x:c r="J59" s="44" t="n">
        <x:v>0.21</x:v>
      </x:c>
      <x:c r="K59" s="3"/>
      <x:c r="L59" s="3"/>
      <x:c r="M59" s="3"/>
      <x:c r="N59" s="3"/>
      <x:c r="O59" s="3"/>
      <x:c r="P59" s="3"/>
      <x:c r="Q59" s="3"/>
      <x:c r="R59" s="3"/>
      <x:c r="S59" s="3"/>
    </x:row>
    <x:row r="60" ht="21" customHeight="1">
      <x:c r="A60" s="3"/>
      <x:c r="B60" s="3"/>
      <x:c r="C60" s="3" t="str">
        <x:v>Diluted shares outstanding (M)</x:v>
      </x:c>
      <x:c r="D60" s="37" t="n">
        <x:v>4000</x:v>
      </x:c>
      <x:c r="E60" s="37" t="n">
        <x:v>4050</x:v>
      </x:c>
      <x:c r="F60" s="30" t="n">
        <x:v>4100</x:v>
      </x:c>
      <x:c r="G60" s="30" t="n">
        <x:v>4150</x:v>
      </x:c>
      <x:c r="H60" s="30" t="n">
        <x:v>4200</x:v>
      </x:c>
      <x:c r="I60" s="30" t="n">
        <x:v>4250</x:v>
      </x:c>
      <x:c r="J60" s="30" t="n">
        <x:v>4300</x:v>
      </x:c>
      <x:c r="K60" s="3"/>
      <x:c r="L60" s="3"/>
      <x:c r="M60" s="3"/>
      <x:c r="N60" s="3"/>
      <x:c r="O60" s="3"/>
      <x:c r="P60" s="3"/>
      <x:c r="Q60" s="3"/>
      <x:c r="R60" s="3"/>
      <x:c r="S60" s="3"/>
    </x:row>
    <x:row r="61" ht="21" customHeight="1">
      <x:c r="A61" s="3"/>
      <x:c r="B61" s="3"/>
      <x:c r="C61" s="3"/>
      <x:c r="D61" s="25"/>
      <x:c r="E61" s="25"/>
      <x:c r="F61" s="26"/>
      <x:c r="G61" s="26"/>
      <x:c r="H61" s="26"/>
      <x:c r="I61" s="26"/>
      <x:c r="J61" s="26"/>
      <x:c r="K61" s="3"/>
      <x:c r="L61" s="3"/>
      <x:c r="M61" s="3"/>
      <x:c r="N61" s="3"/>
      <x:c r="O61" s="3"/>
      <x:c r="P61" s="3"/>
      <x:c r="Q61" s="3"/>
      <x:c r="R61" s="3"/>
      <x:c r="S61" s="3"/>
    </x:row>
    <x:row r="62" ht="21" customHeight="1">
      <x:c r="A62" s="3"/>
      <x:c r="B62" s="3"/>
      <x:c r="C62" s="31" t="str">
        <x:v>Launch revenue includes paying external customers only; internal satellite deployments are excluded.</x:v>
      </x:c>
      <x:c r="D62" s="25"/>
      <x:c r="E62" s="25"/>
      <x:c r="F62" s="26"/>
      <x:c r="G62" s="26"/>
      <x:c r="H62" s="26"/>
      <x:c r="I62" s="26"/>
      <x:c r="J62" s="26"/>
      <x:c r="K62" s="3"/>
      <x:c r="L62" s="3"/>
      <x:c r="M62" s="3"/>
      <x:c r="N62" s="3"/>
      <x:c r="O62" s="3"/>
      <x:c r="P62" s="3"/>
      <x:c r="Q62" s="3"/>
      <x:c r="R62" s="3"/>
      <x:c r="S62" s="3"/>
    </x:row>
    <x:row r="63" ht="21" customHeight="1">
      <x:c r="A63" s="3"/>
      <x:c r="B63" s="3"/>
      <x:c r="C63" s="31" t="str">
        <x:v>Subscriptions use average opening/ending users × monthly ARPU × 12; terminals are sold to gross additions.</x:v>
      </x:c>
      <x:c r="D63" s="25"/>
      <x:c r="E63" s="25"/>
      <x:c r="F63" s="26"/>
      <x:c r="G63" s="26"/>
      <x:c r="H63" s="26"/>
      <x:c r="I63" s="26"/>
      <x:c r="J63" s="26"/>
      <x:c r="K63" s="3"/>
      <x:c r="L63" s="3"/>
      <x:c r="M63" s="3"/>
      <x:c r="N63" s="3"/>
      <x:c r="O63" s="3"/>
      <x:c r="P63" s="3"/>
      <x:c r="Q63" s="3"/>
      <x:c r="R63" s="3"/>
      <x:c r="S63" s="3"/>
    </x:row>
    <x:row r="64" ht="21" customHeight="1">
      <x:c r="A64" s="3"/>
      <x:c r="B64" s="3"/>
      <x:c r="C64" s="31" t="str">
        <x:v>Government program revenue recognizes the stated annual portion of illustrative backlog; no cash-flow timing is modeled.</x:v>
      </x:c>
      <x:c r="D64" s="25"/>
      <x:c r="E64" s="25"/>
      <x:c r="F64" s="26"/>
      <x:c r="G64" s="26"/>
      <x:c r="H64" s="26"/>
      <x:c r="I64" s="26"/>
      <x:c r="J64" s="26"/>
      <x:c r="K64" s="3"/>
      <x:c r="L64" s="3"/>
      <x:c r="M64" s="3"/>
      <x:c r="N64" s="3"/>
      <x:c r="O64" s="3"/>
      <x:c r="P64" s="3"/>
      <x:c r="Q64" s="3"/>
      <x:c r="R64" s="3"/>
      <x:c r="S64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3A7BB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3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</x:cols>
  <x:sheetData>
    <x:row r="1" ht="21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2" customHeight="1">
      <x:c r="A2" s="3"/>
      <x:c r="B2" s="3"/>
      <x:c r="C2" s="5" t="str">
        <x:v>Larkspur Orbital / Capital &amp; debt</x:v>
      </x:c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3" ht="21" customHeight="1">
      <x:c r="A3" s="3"/>
      <x:c r="B3" s="3"/>
      <x:c r="C3" s="7" t="str">
        <x:v>Capital asset roll-forward, depreciation and financing assumptions · synthetic inputs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 ht="21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 ht="21" customHeight="1">
      <x:c r="A5" s="3"/>
      <x:c r="B5" s="3"/>
      <x:c r="C5" s="7" t="str">
        <x:v>Depreciation uses opening net assets plus a half-year charge on new capital spending.</x:v>
      </x:c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</x:row>
    <x:row r="6" ht="21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</x:row>
    <x:row r="7" ht="21" customHeight="1">
      <x:c r="A7" s="3"/>
      <x:c r="B7" s="3"/>
      <x:c r="C7" s="3"/>
      <x:c r="D7" s="9" t="str">
        <x:v>MODELED BASE</x:v>
      </x:c>
      <x:c r="E7" s="9"/>
      <x:c r="F7" s="11" t="str">
        <x:v>FORECAST</x:v>
      </x:c>
      <x:c r="G7" s="11"/>
      <x:c r="H7" s="11"/>
      <x:c r="I7" s="11"/>
      <x:c r="J7" s="11"/>
      <x:c r="K7" s="3"/>
      <x:c r="L7" s="3"/>
      <x:c r="M7" s="3"/>
      <x:c r="N7" s="3"/>
      <x:c r="O7" s="3"/>
      <x:c r="P7" s="3"/>
      <x:c r="Q7" s="3"/>
      <x:c r="R7" s="3"/>
      <x:c r="S7" s="3"/>
    </x:row>
    <x:row r="8" ht="26" customHeight="1">
      <x:c r="A8" s="3"/>
      <x:c r="B8" s="3"/>
      <x:c r="C8" s="17" t="str">
        <x:v>USD millions, except where noted</x:v>
      </x:c>
      <x:c r="D8" s="20" t="n">
        <x:v>2025</x:v>
      </x:c>
      <x:c r="E8" s="20" t="n">
        <x:v>2026</x:v>
      </x:c>
      <x:c r="F8" s="21" t="n">
        <x:v>2027</x:v>
      </x:c>
      <x:c r="G8" s="21" t="n">
        <x:v>2028</x:v>
      </x:c>
      <x:c r="H8" s="21" t="n">
        <x:v>2029</x:v>
      </x:c>
      <x:c r="I8" s="21" t="n">
        <x:v>2030</x:v>
      </x:c>
      <x:c r="J8" s="21" t="n">
        <x:v>2031</x:v>
      </x:c>
      <x:c r="K8" s="3"/>
      <x:c r="L8" s="3"/>
      <x:c r="M8" s="3"/>
      <x:c r="N8" s="3"/>
      <x:c r="O8" s="3"/>
      <x:c r="P8" s="3"/>
      <x:c r="Q8" s="3"/>
      <x:c r="R8" s="3"/>
      <x:c r="S8" s="3"/>
    </x:row>
    <x:row r="9" ht="21" customHeight="1">
      <x:c r="A9" s="3"/>
      <x:c r="B9" s="3"/>
      <x:c r="C9" s="3"/>
      <x:c r="D9" s="25"/>
      <x:c r="E9" s="25"/>
      <x:c r="F9" s="26"/>
      <x:c r="G9" s="26"/>
      <x:c r="H9" s="26"/>
      <x:c r="I9" s="26"/>
      <x:c r="J9" s="26"/>
      <x:c r="K9" s="3"/>
      <x:c r="L9" s="3"/>
      <x:c r="M9" s="3"/>
      <x:c r="N9" s="3"/>
      <x:c r="O9" s="3"/>
      <x:c r="P9" s="3"/>
      <x:c r="Q9" s="3"/>
      <x:c r="R9" s="3"/>
      <x:c r="S9" s="3"/>
    </x:row>
    <x:row r="10" ht="24" customHeight="1">
      <x:c r="A10" s="3"/>
      <x:c r="B10" s="3"/>
      <x:c r="C10" s="34" t="str">
        <x:v>CAPITAL ASSETS</x:v>
      </x:c>
      <x:c r="D10" s="35"/>
      <x:c r="E10" s="35"/>
      <x:c r="F10" s="35"/>
      <x:c r="G10" s="35"/>
      <x:c r="H10" s="35"/>
      <x:c r="I10" s="35"/>
      <x:c r="J10" s="35"/>
      <x:c r="K10" s="3"/>
      <x:c r="L10" s="3"/>
      <x:c r="M10" s="3"/>
      <x:c r="N10" s="3"/>
      <x:c r="O10" s="3"/>
      <x:c r="P10" s="3"/>
      <x:c r="Q10" s="3"/>
      <x:c r="R10" s="3"/>
      <x:c r="S10" s="3"/>
    </x:row>
    <x:row r="11" ht="21" customHeight="1">
      <x:c r="A11" s="3"/>
      <x:c r="B11" s="3"/>
      <x:c r="C11" s="3" t="str">
        <x:v>Opening net property and equipment</x:v>
      </x:c>
      <x:c r="D11" s="25" t="n">
        <x:v>6000</x:v>
      </x:c>
      <x:c r="E11" s="25" t="n">
        <x:f>D16</x:f>
        <x:v>7530</x:v>
      </x:c>
      <x:c r="F11" s="26" t="n">
        <x:f>E16</x:f>
        <x:v>9484.4</x:v>
      </x:c>
      <x:c r="G11" s="26" t="n">
        <x:f>F16</x:f>
        <x:v>11906.271999999999</x:v>
      </x:c>
      <x:c r="H11" s="26" t="n">
        <x:f>G16</x:f>
        <x:v>14551.519359999997</x:v>
      </x:c>
      <x:c r="I11" s="26" t="n">
        <x:f>H16</x:f>
        <x:v>17393.3370368</x:v>
      </x:c>
      <x:c r="J11" s="26" t="n">
        <x:f>I16</x:f>
        <x:v>20408.136592384</x:v>
      </x:c>
      <x:c r="K11" s="3"/>
      <x:c r="L11" s="3"/>
      <x:c r="M11" s="3"/>
      <x:c r="N11" s="3"/>
      <x:c r="O11" s="3"/>
      <x:c r="P11" s="3"/>
      <x:c r="Q11" s="3"/>
      <x:c r="R11" s="3"/>
      <x:c r="S11" s="3"/>
    </x:row>
    <x:row r="12" ht="21" customHeight="1">
      <x:c r="A12" s="3"/>
      <x:c r="B12" s="3"/>
      <x:c r="C12" s="3" t="str">
        <x:v>Capital expenditures</x:v>
      </x:c>
      <x:c r="D12" s="37" t="n">
        <x:v>2500</x:v>
      </x:c>
      <x:c r="E12" s="37" t="n">
        <x:v>3200</x:v>
      </x:c>
      <x:c r="F12" s="30" t="n">
        <x:v>4000</x:v>
      </x:c>
      <x:c r="G12" s="30" t="n">
        <x:v>4600</x:v>
      </x:c>
      <x:c r="H12" s="30" t="n">
        <x:v>5200</x:v>
      </x:c>
      <x:c r="I12" s="30" t="n">
        <x:v>5800</x:v>
      </x:c>
      <x:c r="J12" s="30" t="n">
        <x:v>6400</x:v>
      </x:c>
      <x:c r="K12" s="3"/>
      <x:c r="L12" s="3"/>
      <x:c r="M12" s="3"/>
      <x:c r="N12" s="3"/>
      <x:c r="O12" s="3"/>
      <x:c r="P12" s="3"/>
      <x:c r="Q12" s="3"/>
      <x:c r="R12" s="3"/>
      <x:c r="S12" s="3"/>
    </x:row>
    <x:row r="13" ht="21" customHeight="1">
      <x:c r="A13" s="3"/>
      <x:c r="B13" s="3"/>
      <x:c r="C13" s="3" t="str">
        <x:v>Depreciation rate / net assets</x:v>
      </x:c>
      <x:c r="D13" s="45" t="n">
        <x:v>0.12</x:v>
      </x:c>
      <x:c r="E13" s="45" t="n">
        <x:v>0.12</x:v>
      </x:c>
      <x:c r="F13" s="44" t="n">
        <x:v>0.12</x:v>
      </x:c>
      <x:c r="G13" s="44" t="n">
        <x:v>0.12</x:v>
      </x:c>
      <x:c r="H13" s="44" t="n">
        <x:v>0.12</x:v>
      </x:c>
      <x:c r="I13" s="44" t="n">
        <x:v>0.12</x:v>
      </x:c>
      <x:c r="J13" s="44" t="n">
        <x:v>0.12</x:v>
      </x:c>
      <x:c r="K13" s="3"/>
      <x:c r="L13" s="3"/>
      <x:c r="M13" s="3"/>
      <x:c r="N13" s="3"/>
      <x:c r="O13" s="3"/>
      <x:c r="P13" s="3"/>
      <x:c r="Q13" s="3"/>
      <x:c r="R13" s="3"/>
      <x:c r="S13" s="3"/>
    </x:row>
    <x:row r="14" ht="21" customHeight="1">
      <x:c r="A14" s="3"/>
      <x:c r="B14" s="3"/>
      <x:c r="C14" s="3" t="str">
        <x:v>Asset disposals at book value</x:v>
      </x:c>
      <x:c r="D14" s="37" t="n">
        <x:v>100</x:v>
      </x:c>
      <x:c r="E14" s="37" t="n">
        <x:v>150</x:v>
      </x:c>
      <x:c r="F14" s="30" t="n">
        <x:v>200</x:v>
      </x:c>
      <x:c r="G14" s="30" t="n">
        <x:v>250</x:v>
      </x:c>
      <x:c r="H14" s="30" t="n">
        <x:v>300</x:v>
      </x:c>
      <x:c r="I14" s="30" t="n">
        <x:v>350</x:v>
      </x:c>
      <x:c r="J14" s="30" t="n">
        <x:v>400</x:v>
      </x:c>
      <x:c r="K14" s="3"/>
      <x:c r="L14" s="3"/>
      <x:c r="M14" s="3"/>
      <x:c r="N14" s="3"/>
      <x:c r="O14" s="3"/>
      <x:c r="P14" s="3"/>
      <x:c r="Q14" s="3"/>
      <x:c r="R14" s="3"/>
      <x:c r="S14" s="3"/>
    </x:row>
    <x:row r="15" ht="25" customHeight="1">
      <x:c r="A15" s="3"/>
      <x:c r="B15" s="3"/>
      <x:c r="C15" s="54" t="str">
        <x:v>Depreciation and amortization</x:v>
      </x:c>
      <x:c r="D15" s="55" t="n">
        <x:f>MIN(SUM(D11:D12)-D14,D11*D13+D12*D13*0.5)</x:f>
        <x:v>870</x:v>
      </x:c>
      <x:c r="E15" s="55" t="n">
        <x:f>MIN(SUM(E11:E12)-E14,E11*E13+E12*E13*0.5)</x:f>
        <x:v>1095.6</x:v>
      </x:c>
      <x:c r="F15" s="55" t="n">
        <x:f>MIN(SUM(F11:F12)-F14,F11*F13+F12*F13*0.5)</x:f>
        <x:v>1378.128</x:v>
      </x:c>
      <x:c r="G15" s="55" t="n">
        <x:f>MIN(SUM(G11:G12)-G14,G11*G13+G12*G13*0.5)</x:f>
        <x:v>1704.75264</x:v>
      </x:c>
      <x:c r="H15" s="55" t="n">
        <x:f>MIN(SUM(H11:H12)-H14,H11*H13+H12*H13*0.5)</x:f>
        <x:v>2058.1823231999997</x:v>
      </x:c>
      <x:c r="I15" s="55" t="n">
        <x:f>MIN(SUM(I11:I12)-I14,I11*I13+I12*I13*0.5)</x:f>
        <x:v>2435.2004444159998</x:v>
      </x:c>
      <x:c r="J15" s="55" t="n">
        <x:f>MIN(SUM(J11:J12)-J14,J11*J13+J12*J13*0.5)</x:f>
        <x:v>2832.9763910860797</x:v>
      </x:c>
      <x:c r="K15" s="3"/>
      <x:c r="L15" s="3"/>
      <x:c r="M15" s="3"/>
      <x:c r="N15" s="3"/>
      <x:c r="O15" s="3"/>
      <x:c r="P15" s="3"/>
      <x:c r="Q15" s="3"/>
      <x:c r="R15" s="3"/>
      <x:c r="S15" s="3"/>
    </x:row>
    <x:row r="16" ht="25" customHeight="1">
      <x:c r="A16" s="3"/>
      <x:c r="B16" s="3"/>
      <x:c r="C16" s="54" t="str">
        <x:v>Closing net property and equipment</x:v>
      </x:c>
      <x:c r="D16" s="55" t="n">
        <x:f>SUM(D11:D12)-SUM(D14:D15)</x:f>
        <x:v>7530</x:v>
      </x:c>
      <x:c r="E16" s="55" t="n">
        <x:f>SUM(E11:E12)-SUM(E14:E15)</x:f>
        <x:v>9484.4</x:v>
      </x:c>
      <x:c r="F16" s="55" t="n">
        <x:f>SUM(F11:F12)-SUM(F14:F15)</x:f>
        <x:v>11906.271999999999</x:v>
      </x:c>
      <x:c r="G16" s="55" t="n">
        <x:f>SUM(G11:G12)-SUM(G14:G15)</x:f>
        <x:v>14551.519359999997</x:v>
      </x:c>
      <x:c r="H16" s="55" t="n">
        <x:f>SUM(H11:H12)-SUM(H14:H15)</x:f>
        <x:v>17393.3370368</x:v>
      </x:c>
      <x:c r="I16" s="55" t="n">
        <x:f>SUM(I11:I12)-SUM(I14:I15)</x:f>
        <x:v>20408.136592384</x:v>
      </x:c>
      <x:c r="J16" s="55" t="n">
        <x:f>SUM(J11:J12)-SUM(J14:J15)</x:f>
        <x:v>23575.16020129792</x:v>
      </x:c>
      <x:c r="K16" s="3"/>
      <x:c r="L16" s="3"/>
      <x:c r="M16" s="3"/>
      <x:c r="N16" s="3"/>
      <x:c r="O16" s="3"/>
      <x:c r="P16" s="3"/>
      <x:c r="Q16" s="3"/>
      <x:c r="R16" s="3"/>
      <x:c r="S16" s="3"/>
    </x:row>
    <x:row r="17" ht="21" customHeight="1">
      <x:c r="A17" s="3"/>
      <x:c r="B17" s="3"/>
      <x:c r="C17" s="3"/>
      <x:c r="D17" s="25"/>
      <x:c r="E17" s="25"/>
      <x:c r="F17" s="26"/>
      <x:c r="G17" s="26"/>
      <x:c r="H17" s="26"/>
      <x:c r="I17" s="26"/>
      <x:c r="J17" s="26"/>
      <x:c r="K17" s="3"/>
      <x:c r="L17" s="3"/>
      <x:c r="M17" s="3"/>
      <x:c r="N17" s="3"/>
      <x:c r="O17" s="3"/>
      <x:c r="P17" s="3"/>
      <x:c r="Q17" s="3"/>
      <x:c r="R17" s="3"/>
      <x:c r="S17" s="3"/>
    </x:row>
    <x:row r="18" ht="24" customHeight="1">
      <x:c r="A18" s="3"/>
      <x:c r="B18" s="3"/>
      <x:c r="C18" s="34" t="str">
        <x:v>DEBT AND INTEREST</x:v>
      </x:c>
      <x:c r="D18" s="35"/>
      <x:c r="E18" s="35"/>
      <x:c r="F18" s="35"/>
      <x:c r="G18" s="35"/>
      <x:c r="H18" s="35"/>
      <x:c r="I18" s="35"/>
      <x:c r="J18" s="35"/>
      <x:c r="K18" s="3"/>
      <x:c r="L18" s="3"/>
      <x:c r="M18" s="3"/>
      <x:c r="N18" s="3"/>
      <x:c r="O18" s="3"/>
      <x:c r="P18" s="3"/>
      <x:c r="Q18" s="3"/>
      <x:c r="R18" s="3"/>
      <x:c r="S18" s="3"/>
    </x:row>
    <x:row r="19" ht="21" customHeight="1">
      <x:c r="A19" s="3"/>
      <x:c r="B19" s="3"/>
      <x:c r="C19" s="3" t="str">
        <x:v>Opening debt balance</x:v>
      </x:c>
      <x:c r="D19" s="25" t="n">
        <x:v>3000</x:v>
      </x:c>
      <x:c r="E19" s="25" t="n">
        <x:f>D22</x:f>
        <x:v>3300</x:v>
      </x:c>
      <x:c r="F19" s="26" t="n">
        <x:f>E22</x:f>
        <x:v>3400</x:v>
      </x:c>
      <x:c r="G19" s="26" t="n">
        <x:f>F22</x:f>
        <x:v>3300</x:v>
      </x:c>
      <x:c r="H19" s="26" t="n">
        <x:f>G22</x:f>
        <x:v>3000</x:v>
      </x:c>
      <x:c r="I19" s="26" t="n">
        <x:f>H22</x:f>
        <x:v>2500</x:v>
      </x:c>
      <x:c r="J19" s="26" t="n">
        <x:f>I22</x:f>
        <x:v>1800</x:v>
      </x:c>
      <x:c r="K19" s="3"/>
      <x:c r="L19" s="3"/>
      <x:c r="M19" s="3"/>
      <x:c r="N19" s="3"/>
      <x:c r="O19" s="3"/>
      <x:c r="P19" s="3"/>
      <x:c r="Q19" s="3"/>
      <x:c r="R19" s="3"/>
      <x:c r="S19" s="3"/>
    </x:row>
    <x:row r="20" ht="21" customHeight="1">
      <x:c r="A20" s="3"/>
      <x:c r="B20" s="3"/>
      <x:c r="C20" s="3" t="str">
        <x:v>New borrowings</x:v>
      </x:c>
      <x:c r="D20" s="37" t="n">
        <x:v>500</x:v>
      </x:c>
      <x:c r="E20" s="37" t="n">
        <x:v>400</x:v>
      </x:c>
      <x:c r="F20" s="30" t="n">
        <x:v>300</x:v>
      </x:c>
      <x:c r="G20" s="30" t="n">
        <x:v>200</x:v>
      </x:c>
      <x:c r="H20" s="30" t="n">
        <x:v>100</x:v>
      </x:c>
      <x:c r="I20" s="30" t="n">
        <x:v>0</x:v>
      </x:c>
      <x:c r="J20" s="30" t="n">
        <x:v>0</x:v>
      </x:c>
      <x:c r="K20" s="3"/>
      <x:c r="L20" s="3"/>
      <x:c r="M20" s="3"/>
      <x:c r="N20" s="3"/>
      <x:c r="O20" s="3"/>
      <x:c r="P20" s="3"/>
      <x:c r="Q20" s="3"/>
      <x:c r="R20" s="3"/>
      <x:c r="S20" s="3"/>
    </x:row>
    <x:row r="21" ht="21" customHeight="1">
      <x:c r="A21" s="3"/>
      <x:c r="B21" s="3"/>
      <x:c r="C21" s="3" t="str">
        <x:v>Scheduled principal repayments</x:v>
      </x:c>
      <x:c r="D21" s="37" t="n">
        <x:v>200</x:v>
      </x:c>
      <x:c r="E21" s="37" t="n">
        <x:v>300</x:v>
      </x:c>
      <x:c r="F21" s="30" t="n">
        <x:v>400</x:v>
      </x:c>
      <x:c r="G21" s="30" t="n">
        <x:v>500</x:v>
      </x:c>
      <x:c r="H21" s="30" t="n">
        <x:v>600</x:v>
      </x:c>
      <x:c r="I21" s="30" t="n">
        <x:v>700</x:v>
      </x:c>
      <x:c r="J21" s="30" t="n">
        <x:v>800</x:v>
      </x:c>
      <x:c r="K21" s="3"/>
      <x:c r="L21" s="3"/>
      <x:c r="M21" s="3"/>
      <x:c r="N21" s="3"/>
      <x:c r="O21" s="3"/>
      <x:c r="P21" s="3"/>
      <x:c r="Q21" s="3"/>
      <x:c r="R21" s="3"/>
      <x:c r="S21" s="3"/>
    </x:row>
    <x:row r="22" ht="25" customHeight="1">
      <x:c r="A22" s="3"/>
      <x:c r="B22" s="3"/>
      <x:c r="C22" s="54" t="str">
        <x:v>Closing debt balance</x:v>
      </x:c>
      <x:c r="D22" s="55" t="n">
        <x:f>SUM(D19:D20)-D21</x:f>
        <x:v>3300</x:v>
      </x:c>
      <x:c r="E22" s="55" t="n">
        <x:f>SUM(E19:E20)-E21</x:f>
        <x:v>3400</x:v>
      </x:c>
      <x:c r="F22" s="55" t="n">
        <x:f>SUM(F19:F20)-F21</x:f>
        <x:v>3300</x:v>
      </x:c>
      <x:c r="G22" s="55" t="n">
        <x:f>SUM(G19:G20)-G21</x:f>
        <x:v>3000</x:v>
      </x:c>
      <x:c r="H22" s="55" t="n">
        <x:f>SUM(H19:H20)-H21</x:f>
        <x:v>2500</x:v>
      </x:c>
      <x:c r="I22" s="55" t="n">
        <x:f>SUM(I19:I20)-I21</x:f>
        <x:v>1800</x:v>
      </x:c>
      <x:c r="J22" s="55" t="n">
        <x:f>SUM(J19:J20)-J21</x:f>
        <x:v>1000</x:v>
      </x:c>
      <x:c r="K22" s="3"/>
      <x:c r="L22" s="3"/>
      <x:c r="M22" s="3"/>
      <x:c r="N22" s="3"/>
      <x:c r="O22" s="3"/>
      <x:c r="P22" s="3"/>
      <x:c r="Q22" s="3"/>
      <x:c r="R22" s="3"/>
      <x:c r="S22" s="3"/>
    </x:row>
    <x:row r="23" ht="21" customHeight="1">
      <x:c r="A23" s="3"/>
      <x:c r="B23" s="3"/>
      <x:c r="C23" s="3" t="str">
        <x:v>Average debt balance</x:v>
      </x:c>
      <x:c r="D23" s="25" t="n">
        <x:f>AVERAGE(D19,D22)</x:f>
        <x:v>3150</x:v>
      </x:c>
      <x:c r="E23" s="25" t="n">
        <x:f>AVERAGE(E19,E22)</x:f>
        <x:v>3350</x:v>
      </x:c>
      <x:c r="F23" s="26" t="n">
        <x:f>AVERAGE(F19,F22)</x:f>
        <x:v>3350</x:v>
      </x:c>
      <x:c r="G23" s="26" t="n">
        <x:f>AVERAGE(G19,G22)</x:f>
        <x:v>3150</x:v>
      </x:c>
      <x:c r="H23" s="26" t="n">
        <x:f>AVERAGE(H19,H22)</x:f>
        <x:v>2750</x:v>
      </x:c>
      <x:c r="I23" s="26" t="n">
        <x:f>AVERAGE(I19,I22)</x:f>
        <x:v>2150</x:v>
      </x:c>
      <x:c r="J23" s="26" t="n">
        <x:f>AVERAGE(J19,J22)</x:f>
        <x:v>1400</x:v>
      </x:c>
      <x:c r="K23" s="3"/>
      <x:c r="L23" s="3"/>
      <x:c r="M23" s="3"/>
      <x:c r="N23" s="3"/>
      <x:c r="O23" s="3"/>
      <x:c r="P23" s="3"/>
      <x:c r="Q23" s="3"/>
      <x:c r="R23" s="3"/>
      <x:c r="S23" s="3"/>
    </x:row>
    <x:row r="24" ht="21" customHeight="1">
      <x:c r="A24" s="3"/>
      <x:c r="B24" s="3"/>
      <x:c r="C24" s="3" t="str">
        <x:v>Average interest rate</x:v>
      </x:c>
      <x:c r="D24" s="45" t="n">
        <x:v>0.07</x:v>
      </x:c>
      <x:c r="E24" s="45" t="n">
        <x:v>0.07</x:v>
      </x:c>
      <x:c r="F24" s="44" t="n">
        <x:v>0.07</x:v>
      </x:c>
      <x:c r="G24" s="44" t="n">
        <x:v>0.07</x:v>
      </x:c>
      <x:c r="H24" s="44" t="n">
        <x:v>0.07</x:v>
      </x:c>
      <x:c r="I24" s="44" t="n">
        <x:v>0.07</x:v>
      </x:c>
      <x:c r="J24" s="44" t="n">
        <x:v>0.07</x:v>
      </x:c>
      <x:c r="K24" s="3"/>
      <x:c r="L24" s="3"/>
      <x:c r="M24" s="3"/>
      <x:c r="N24" s="3"/>
      <x:c r="O24" s="3"/>
      <x:c r="P24" s="3"/>
      <x:c r="Q24" s="3"/>
      <x:c r="R24" s="3"/>
      <x:c r="S24" s="3"/>
    </x:row>
    <x:row r="25" ht="25" customHeight="1">
      <x:c r="A25" s="3"/>
      <x:c r="B25" s="3"/>
      <x:c r="C25" s="54" t="str">
        <x:v>Interest expense</x:v>
      </x:c>
      <x:c r="D25" s="55" t="n">
        <x:f>D23*D24</x:f>
        <x:v>220.50000000000003</x:v>
      </x:c>
      <x:c r="E25" s="55" t="n">
        <x:f>E23*E24</x:f>
        <x:v>234.50000000000003</x:v>
      </x:c>
      <x:c r="F25" s="55" t="n">
        <x:f>F23*F24</x:f>
        <x:v>234.50000000000003</x:v>
      </x:c>
      <x:c r="G25" s="55" t="n">
        <x:f>G23*G24</x:f>
        <x:v>220.50000000000003</x:v>
      </x:c>
      <x:c r="H25" s="55" t="n">
        <x:f>H23*H24</x:f>
        <x:v>192.50000000000003</x:v>
      </x:c>
      <x:c r="I25" s="55" t="n">
        <x:f>I23*I24</x:f>
        <x:v>150.50000000000003</x:v>
      </x:c>
      <x:c r="J25" s="55" t="n">
        <x:f>J23*J24</x:f>
        <x:v>98.00000000000001</x:v>
      </x:c>
      <x:c r="K25" s="3"/>
      <x:c r="L25" s="3"/>
      <x:c r="M25" s="3"/>
      <x:c r="N25" s="3"/>
      <x:c r="O25" s="3"/>
      <x:c r="P25" s="3"/>
      <x:c r="Q25" s="3"/>
      <x:c r="R25" s="3"/>
      <x:c r="S25" s="3"/>
    </x:row>
    <x:row r="26" ht="21" customHeight="1">
      <x:c r="A26" s="3"/>
      <x:c r="B26" s="3"/>
      <x:c r="C26" s="3"/>
      <x:c r="D26" s="25"/>
      <x:c r="E26" s="25"/>
      <x:c r="F26" s="26"/>
      <x:c r="G26" s="26"/>
      <x:c r="H26" s="26"/>
      <x:c r="I26" s="26"/>
      <x:c r="J26" s="26"/>
      <x:c r="K26" s="3"/>
      <x:c r="L26" s="3"/>
      <x:c r="M26" s="3"/>
      <x:c r="N26" s="3"/>
      <x:c r="O26" s="3"/>
      <x:c r="P26" s="3"/>
      <x:c r="Q26" s="3"/>
      <x:c r="R26" s="3"/>
      <x:c r="S26" s="3"/>
    </x:row>
    <x:row r="27" ht="21" customHeight="1">
      <x:c r="A27" s="3"/>
      <x:c r="B27" s="3"/>
      <x:c r="C27" s="3" t="str">
        <x:v>Assumed average cash balance</x:v>
      </x:c>
      <x:c r="D27" s="37" t="n">
        <x:v>2000</x:v>
      </x:c>
      <x:c r="E27" s="37" t="n">
        <x:v>2500</x:v>
      </x:c>
      <x:c r="F27" s="30" t="n">
        <x:v>3000</x:v>
      </x:c>
      <x:c r="G27" s="30" t="n">
        <x:v>3500</x:v>
      </x:c>
      <x:c r="H27" s="30" t="n">
        <x:v>4000</x:v>
      </x:c>
      <x:c r="I27" s="30" t="n">
        <x:v>4500</x:v>
      </x:c>
      <x:c r="J27" s="30" t="n">
        <x:v>5000</x:v>
      </x:c>
      <x:c r="K27" s="3"/>
      <x:c r="L27" s="3"/>
      <x:c r="M27" s="3"/>
      <x:c r="N27" s="3"/>
      <x:c r="O27" s="3"/>
      <x:c r="P27" s="3"/>
      <x:c r="Q27" s="3"/>
      <x:c r="R27" s="3"/>
      <x:c r="S27" s="3"/>
    </x:row>
    <x:row r="28" ht="21" customHeight="1">
      <x:c r="A28" s="3"/>
      <x:c r="B28" s="3"/>
      <x:c r="C28" s="3" t="str">
        <x:v>Cash yield</x:v>
      </x:c>
      <x:c r="D28" s="45" t="n">
        <x:v>0.03</x:v>
      </x:c>
      <x:c r="E28" s="45" t="n">
        <x:v>0.03</x:v>
      </x:c>
      <x:c r="F28" s="44" t="n">
        <x:v>0.03</x:v>
      </x:c>
      <x:c r="G28" s="44" t="n">
        <x:v>0.03</x:v>
      </x:c>
      <x:c r="H28" s="44" t="n">
        <x:v>0.03</x:v>
      </x:c>
      <x:c r="I28" s="44" t="n">
        <x:v>0.03</x:v>
      </x:c>
      <x:c r="J28" s="44" t="n">
        <x:v>0.03</x:v>
      </x:c>
      <x:c r="K28" s="3"/>
      <x:c r="L28" s="3"/>
      <x:c r="M28" s="3"/>
      <x:c r="N28" s="3"/>
      <x:c r="O28" s="3"/>
      <x:c r="P28" s="3"/>
      <x:c r="Q28" s="3"/>
      <x:c r="R28" s="3"/>
      <x:c r="S28" s="3"/>
    </x:row>
    <x:row r="29" ht="21" customHeight="1">
      <x:c r="A29" s="3"/>
      <x:c r="B29" s="3"/>
      <x:c r="C29" s="3" t="str">
        <x:v>Interest income</x:v>
      </x:c>
      <x:c r="D29" s="25" t="n">
        <x:f>D27*D28</x:f>
        <x:v>60</x:v>
      </x:c>
      <x:c r="E29" s="25" t="n">
        <x:f>E27*E28</x:f>
        <x:v>75</x:v>
      </x:c>
      <x:c r="F29" s="26" t="n">
        <x:f>F27*F28</x:f>
        <x:v>90</x:v>
      </x:c>
      <x:c r="G29" s="26" t="n">
        <x:f>G27*G28</x:f>
        <x:v>105</x:v>
      </x:c>
      <x:c r="H29" s="26" t="n">
        <x:f>H27*H28</x:f>
        <x:v>120</x:v>
      </x:c>
      <x:c r="I29" s="26" t="n">
        <x:f>I27*I28</x:f>
        <x:v>135</x:v>
      </x:c>
      <x:c r="J29" s="26" t="n">
        <x:f>J27*J28</x:f>
        <x:v>150</x:v>
      </x:c>
      <x:c r="K29" s="3"/>
      <x:c r="L29" s="3"/>
      <x:c r="M29" s="3"/>
      <x:c r="N29" s="3"/>
      <x:c r="O29" s="3"/>
      <x:c r="P29" s="3"/>
      <x:c r="Q29" s="3"/>
      <x:c r="R29" s="3"/>
      <x:c r="S29" s="3"/>
    </x:row>
    <x:row r="30" ht="25" customHeight="1">
      <x:c r="A30" s="3"/>
      <x:c r="B30" s="3"/>
      <x:c r="C30" s="54" t="str">
        <x:v>Net interest expense</x:v>
      </x:c>
      <x:c r="D30" s="55" t="n">
        <x:f>D25-D29</x:f>
        <x:v>160.50000000000003</x:v>
      </x:c>
      <x:c r="E30" s="55" t="n">
        <x:f>E25-E29</x:f>
        <x:v>159.50000000000003</x:v>
      </x:c>
      <x:c r="F30" s="55" t="n">
        <x:f>F25-F29</x:f>
        <x:v>144.50000000000003</x:v>
      </x:c>
      <x:c r="G30" s="55" t="n">
        <x:f>G25-G29</x:f>
        <x:v>115.50000000000003</x:v>
      </x:c>
      <x:c r="H30" s="55" t="n">
        <x:f>H25-H29</x:f>
        <x:v>72.50000000000003</x:v>
      </x:c>
      <x:c r="I30" s="55" t="n">
        <x:f>I25-I29</x:f>
        <x:v>15.500000000000028</x:v>
      </x:c>
      <x:c r="J30" s="55" t="n">
        <x:f>J25-J29</x:f>
        <x:v>-51.999999999999986</x:v>
      </x:c>
      <x:c r="K30" s="3"/>
      <x:c r="L30" s="3"/>
      <x:c r="M30" s="3"/>
      <x:c r="N30" s="3"/>
      <x:c r="O30" s="3"/>
      <x:c r="P30" s="3"/>
      <x:c r="Q30" s="3"/>
      <x:c r="R30" s="3"/>
      <x:c r="S30" s="3"/>
    </x:row>
    <x:row r="31" ht="21" customHeight="1">
      <x:c r="A31" s="3"/>
      <x:c r="B31" s="3"/>
      <x:c r="C31" s="3"/>
      <x:c r="D31" s="25"/>
      <x:c r="E31" s="25"/>
      <x:c r="F31" s="26"/>
      <x:c r="G31" s="26"/>
      <x:c r="H31" s="26"/>
      <x:c r="I31" s="26"/>
      <x:c r="J31" s="26"/>
      <x:c r="K31" s="3"/>
      <x:c r="L31" s="3"/>
      <x:c r="M31" s="3"/>
      <x:c r="N31" s="3"/>
      <x:c r="O31" s="3"/>
      <x:c r="P31" s="3"/>
      <x:c r="Q31" s="3"/>
      <x:c r="R31" s="3"/>
      <x:c r="S31" s="3"/>
    </x:row>
    <x:row r="32" ht="21" customHeight="1">
      <x:c r="A32" s="3"/>
      <x:c r="B32" s="3"/>
      <x:c r="C32" s="31" t="str">
        <x:v>D&amp;A is capped at assets available after disposals; new capex receives a half-year depreciation charge.</x:v>
      </x:c>
      <x:c r="D32" s="25"/>
      <x:c r="E32" s="25"/>
      <x:c r="F32" s="26"/>
      <x:c r="G32" s="26"/>
      <x:c r="H32" s="26"/>
      <x:c r="I32" s="26"/>
      <x:c r="J32" s="26"/>
      <x:c r="K32" s="3"/>
      <x:c r="L32" s="3"/>
      <x:c r="M32" s="3"/>
      <x:c r="N32" s="3"/>
      <x:c r="O32" s="3"/>
      <x:c r="P32" s="3"/>
      <x:c r="Q32" s="3"/>
      <x:c r="R32" s="3"/>
      <x:c r="S32" s="3"/>
    </x:row>
    <x:row r="33" ht="21" customHeight="1">
      <x:c r="A33" s="3"/>
      <x:c r="B33" s="3"/>
      <x:c r="C33" s="31" t="str">
        <x:v>Interest uses average opening/closing debt. Cash is an explicit assumption for interest income only.</x:v>
      </x:c>
      <x:c r="D33" s="25"/>
      <x:c r="E33" s="25"/>
      <x:c r="F33" s="26"/>
      <x:c r="G33" s="26"/>
      <x:c r="H33" s="26"/>
      <x:c r="I33" s="26"/>
      <x:c r="J33" s="26"/>
      <x:c r="K33" s="3"/>
      <x:c r="L33" s="3"/>
      <x:c r="M33" s="3"/>
      <x:c r="N33" s="3"/>
      <x:c r="O33" s="3"/>
      <x:c r="P33" s="3"/>
      <x:c r="Q33" s="3"/>
      <x:c r="R33" s="3"/>
      <x:c r="S33" s="3"/>
    </x:row>
    <x:row r="34" ht="21" customHeight="1">
      <x:c r="A34" s="3"/>
      <x:c r="B34" s="3"/>
      <x:c r="C34" s="31" t="str">
        <x:v>This is an income statement model with supporting schedules, not a complete balance sheet or cash-flow model.</x:v>
      </x:c>
      <x:c r="D34" s="25"/>
      <x:c r="E34" s="25"/>
      <x:c r="F34" s="26"/>
      <x:c r="G34" s="26"/>
      <x:c r="H34" s="26"/>
      <x:c r="I34" s="26"/>
      <x:c r="J34" s="26"/>
      <x:c r="K34" s="3"/>
      <x:c r="L34" s="3"/>
      <x:c r="M34" s="3"/>
      <x:c r="N34" s="3"/>
      <x:c r="O34" s="3"/>
      <x:c r="P34" s="3"/>
      <x:c r="Q34" s="3"/>
      <x:c r="R34" s="3"/>
      <x:c r="S34" s="3"/>
    </x:row>
    <x:row r="35" ht="21" customHeight="1">
      <x:c r="A35" s="3"/>
      <x:c r="B35" s="3"/>
      <x:c r="C35" s="31" t="str">
        <x:v>Tax expense is 21% of positive pretax income by default; loss carryforwards and deferred taxes are excluded.</x:v>
      </x:c>
      <x:c r="D35" s="25"/>
      <x:c r="E35" s="25"/>
      <x:c r="F35" s="26"/>
      <x:c r="G35" s="26"/>
      <x:c r="H35" s="26"/>
      <x:c r="I35" s="26"/>
      <x:c r="J35" s="26"/>
      <x:c r="K35" s="3"/>
      <x:c r="L35" s="3"/>
      <x:c r="M35" s="3"/>
      <x:c r="N35" s="3"/>
      <x:c r="O35" s="3"/>
      <x:c r="P35" s="3"/>
      <x:c r="Q35" s="3"/>
      <x:c r="R35" s="3"/>
      <x:c r="S35" s="3"/>
    </x:row>
    <x:row r="36" ht="21" customHeight="1">
      <x:c r="A36" s="3"/>
      <x:c r="B36" s="3"/>
      <x:c r="C36" s="3"/>
      <x:c r="D36" s="25"/>
      <x:c r="E36" s="25"/>
      <x:c r="F36" s="26"/>
      <x:c r="G36" s="26"/>
      <x:c r="H36" s="26"/>
      <x:c r="I36" s="26"/>
      <x:c r="J36" s="26"/>
      <x:c r="K36" s="3"/>
      <x:c r="L36" s="3"/>
      <x:c r="M36" s="3"/>
      <x:c r="N36" s="3"/>
      <x:c r="O36" s="3"/>
      <x:c r="P36" s="3"/>
      <x:c r="Q36" s="3"/>
      <x:c r="R36" s="3"/>
      <x:c r="S36" s="3"/>
    </x:row>
  </x:sheetData>
  <x:pageMargins left="0.7" right="0.7" top="0.75" bottom="0.75" header="0.3" footer="0.3"/>
</x:worksheet>
</file>