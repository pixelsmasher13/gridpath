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8fe318a18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model" sheetId="1" r:id="Rce3748c531bc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&quot;$&quot;#,##0;(&quot;$&quot;#,##0);&quot;–&quot;"/>
    <x:numFmt numFmtId="203" formatCode="0.0%;(0.0%);&quot;–&quot;"/>
    <x:numFmt numFmtId="204" formatCode="#,##0;(#,##0);&quot;–&quot;"/>
  </x:numFmts>
  <x:fonts count="9">
    <x:font>
      <x:sz val="11"/>
      <x:name val="Carlito"/>
    </x:font>
    <x:font>
      <x:sz val="11"/>
      <x:color rgb="FF172B44"/>
      <x:name val="Arial"/>
    </x:font>
    <x:font>
      <x:b/>
      <x:sz val="17"/>
      <x:color rgb="FF172B44"/>
      <x:name val="Arial"/>
    </x:font>
    <x:font>
      <x:i/>
      <x:sz val="11"/>
      <x:color rgb="FF62748A"/>
      <x:name val="Arial"/>
    </x:font>
    <x:font>
      <x:b/>
      <x:sz val="11"/>
      <x:color rgb="FF1D4ED8"/>
      <x:name val="Arial"/>
    </x:font>
    <x:font>
      <x:i/>
      <x:sz val="11"/>
      <x:color rgb="FF172B44"/>
      <x:name val="Arial"/>
    </x:font>
    <x:font>
      <x:b/>
      <x:sz val="11"/>
      <x:color rgb="FF172B44"/>
      <x:name val="Arial"/>
    </x:font>
    <x:font>
      <x:sz val="11"/>
      <x:color rgb="FF00000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BE"/>
      </x:patternFill>
    </x:fill>
    <x:fill>
      <x:patternFill patternType="solid">
        <x:fgColor rgb="FFE8EEF8"/>
      </x:patternFill>
    </x:fill>
    <x:fill>
      <x:patternFill patternType="solid">
        <x:fgColor rgb="FF172B44"/>
      </x:patternFill>
    </x:fill>
    <x:fill>
      <x:patternFill patternType="solid">
        <x:fgColor rgb="FFF1F5F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6D8"/>
      </x:bottom>
      <x:diagonal/>
    </x:border>
    <x:border>
      <x:left/>
      <x:right/>
      <x:top style="thin">
        <x:color rgb="FFB8C6D8"/>
      </x:top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right" vertical="center" wrapText="0"/>
    </x:xf>
    <x:xf numFmtId="200" fontId="4" fillId="2" borderId="0" xfId="0" applyNumberFormat="1" applyFont="1" applyFill="1" applyBorder="1" applyAlignment="1">
      <x:alignment horizontal="right" vertical="center" wrapText="0"/>
    </x:xf>
    <x:xf numFmtId="201" fontId="4" fillId="2" borderId="0" xfId="0" applyNumberFormat="1" applyFont="1" applyFill="1" applyBorder="1" applyAlignment="1">
      <x:alignment horizontal="right" vertical="center" wrapText="0"/>
    </x:xf>
    <x:xf numFmtId="202" fontId="4" fillId="2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3" fontId="5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2" fontId="1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  <x:xf numFmtId="202" fontId="6" fillId="3" borderId="0" xfId="0" applyNumberFormat="1" applyFont="1" applyFill="1" applyBorder="1" applyAlignment="1">
      <x:alignment vertical="center" wrapText="0"/>
    </x:xf>
    <x:xf numFmtId="0" fontId="6" fillId="3" borderId="2" xfId="0" applyNumberFormat="1" applyFont="1" applyFill="1" applyBorder="1" applyAlignment="1">
      <x:alignment vertical="center" wrapText="0"/>
    </x:xf>
    <x:xf numFmtId="202" fontId="6" fillId="3" borderId="2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7" fillId="0" borderId="0" xfId="0" applyNumberFormat="1" applyFont="1" applyFill="1" applyBorder="1" applyAlignment="1">
      <x:alignment vertical="center" wrapText="0"/>
    </x:xf>
    <x:xf numFmtId="204" fontId="7" fillId="0" borderId="0" xfId="0" applyNumberFormat="1" applyFont="1" applyFill="1" applyBorder="1" applyAlignment="1">
      <x:alignment vertical="center" wrapText="0"/>
    </x:xf>
    <x:xf numFmtId="202" fontId="7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2" fontId="6" fillId="3" borderId="2" xfId="0" applyNumberFormat="1" applyFont="1" applyFill="1" applyBorder="1" applyAlignment="1">
      <x:alignment horizontal="right" vertical="center" wrapText="0"/>
    </x:xf>
    <x:xf numFmtId="203" fontId="5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204" fontId="7" fillId="0" borderId="0" xfId="0" applyNumberFormat="1" applyFont="1" applyFill="1" applyBorder="1" applyAlignment="1">
      <x:alignment horizontal="right" vertical="center" wrapText="0"/>
    </x:xf>
    <x:xf numFmtId="202" fontId="7" fillId="0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8" fillId="4" borderId="0" xfId="0" applyNumberFormat="1" applyFont="1" applyFill="1" applyBorder="1" applyAlignment="1">
      <x:alignment vertical="center" wrapText="0"/>
    </x:xf>
    <x:xf numFmtId="0" fontId="8" fillId="4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200" fontId="7" fillId="5" borderId="0" xfId="0" applyNumberFormat="1" applyFont="1" applyFill="1" applyBorder="1" applyAlignment="1">
      <x:alignment vertical="center" wrapText="0"/>
    </x:xf>
    <x:xf numFmtId="204" fontId="7" fillId="5" borderId="0" xfId="0" applyNumberFormat="1" applyFont="1" applyFill="1" applyBorder="1" applyAlignment="1">
      <x:alignment horizontal="right" vertical="center" wrapText="0"/>
    </x:xf>
    <x:xf numFmtId="202" fontId="7" fillId="5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b8af322614316" /><Relationship Type="http://schemas.openxmlformats.org/officeDocument/2006/relationships/theme" Target="/xl/theme/theme1.xml" Id="Rc65c113606164de4" /><Relationship Type="http://schemas.openxmlformats.org/officeDocument/2006/relationships/sharedStrings" Target="/xl/sharedStrings.xml" Id="R54af7033e54e4bc2" /><Relationship Type="http://schemas.openxmlformats.org/officeDocument/2006/relationships/worksheet" Target="/xl/worksheets/sheet1.xml" Id="Rce3748c531bc4d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7b270d284a4a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Revenue &amp; operating profit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23813">
              <a:solidFill>
                <a:srgbClr val="315FBA"/>
              </a:solidFill>
              <a:prstDash val="solid"/>
            </a:ln>
          </c:spPr>
          <c:marker>
            <c:symbol val="none"/>
          </c:marker>
          <c:cat>
            <c:strRef>
              <c:f>'Launch model'!$A$22:$A$26</c:f>
              <c:strCache>
                <c:ptCount val="0"/>
              </c:strCache>
            </c:strRef>
          </c:cat>
          <c:val>
            <c:numRef>
              <c:f>'Launch model'!$D$22:$D$26</c:f>
              <c:numCache>
                <c:formatCode>#,##0;(#,##0);"–"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profit</c:v>
          </c:tx>
          <c:spPr>
            <a:ln xmlns:a="http://schemas.openxmlformats.org/drawingml/2006/main" w="23813">
              <a:solidFill>
                <a:srgbClr val="DC7F28"/>
              </a:solidFill>
              <a:prstDash val="solid"/>
            </a:ln>
          </c:spPr>
          <c:marker>
            <c:symbol val="none"/>
          </c:marker>
          <c:cat>
            <c:strRef>
              <c:f>'Launch model'!$A$22:$A$26</c:f>
              <c:strCache>
                <c:ptCount val="0"/>
              </c:strCache>
            </c:strRef>
          </c:cat>
          <c:val>
            <c:numRef>
              <c:f>'Launch model'!$G$22:$G$26</c:f>
              <c:numCache>
                <c:formatCode>"$"#,##0;("$"#,##0);"–"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7b270d284a4a4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ebeaf421fe4538" /></Relationships>
</file>

<file path=xl/worksheets/sheet1.xml><?xml version="1.0" encoding="utf-8"?>
<x:worksheet xmlns:x="http://schemas.openxmlformats.org/spreadsheetml/2006/main">
  <x:sheetPr>
    <x:tabColor rgb="FF172B44"/>
  </x:sheetPr>
  <x:sheetViews>
    <x:sheetView showGridLines="0" workbookViewId="0"/>
  </x:sheetViews>
  <x:sheetFormatPr defaultRowHeight="15"/>
  <x:cols>
    <x:col min="1" max="1" width="24.670000076293945" hidden="0" customWidth="1"/>
    <x:col min="2" max="2" width="11.5600004196167" hidden="0" customWidth="1"/>
    <x:col min="3" max="3" width="2.6700000762939453" hidden="0" customWidth="1"/>
    <x:col min="4" max="4" width="13.779999732971191" hidden="0" customWidth="1"/>
    <x:col min="5" max="5" width="13.779999732971191" hidden="0" customWidth="1"/>
    <x:col min="6" max="6" width="13.779999732971191" hidden="0" customWidth="1"/>
    <x:col min="7" max="7" width="16.440000534057617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</x:row>
    <x:row r="2" ht="31" customHeight="1">
      <x:c r="A2" s="5" t="str">
        <x:v>Larkspur Orbital / Launch economics</x:v>
      </x:c>
      <x:c r="B2" s="6"/>
      <x:c r="C2" s="6"/>
      <x:c r="D2" s="6"/>
      <x:c r="E2" s="6"/>
      <x:c r="F2" s="6"/>
      <x:c r="G2" s="6"/>
    </x:row>
    <x:row r="3" ht="23" customHeight="1">
      <x:c r="A3" s="7" t="str">
        <x:v>Fictional company · synthetic assumptions · 2027–2031 forecast · USD millions</x:v>
      </x:c>
      <x:c r="B3" s="3"/>
      <x:c r="C3" s="3"/>
      <x:c r="D3" s="3"/>
      <x:c r="E3" s="3"/>
      <x:c r="F3" s="3"/>
      <x:c r="G3" s="3"/>
    </x:row>
    <x:row r="4" ht="23" customHeight="1">
      <x:c r="A4" s="3"/>
      <x:c r="B4" s="3"/>
      <x:c r="C4" s="3"/>
      <x:c r="D4" s="3"/>
      <x:c r="E4" s="3"/>
      <x:c r="F4" s="3"/>
      <x:c r="G4" s="3"/>
    </x:row>
    <x:row r="5" ht="27" customHeight="1">
      <x:c r="A5" s="37" t="str">
        <x:v>Launch assumptions</x:v>
      </x:c>
      <x:c r="B5" s="37"/>
      <x:c r="C5" s="3"/>
      <x:c r="D5" s="3"/>
      <x:c r="E5" s="3"/>
      <x:c r="F5" s="3"/>
      <x:c r="G5" s="3"/>
    </x:row>
    <x:row r="6" ht="23" customHeight="1">
      <x:c r="A6" s="3" t="str">
        <x:v>Launches in 2027</x:v>
      </x:c>
      <x:c r="B6" s="11" t="n">
        <x:v>120</x:v>
      </x:c>
      <x:c r="C6" s="3"/>
      <x:c r="D6" s="3"/>
      <x:c r="E6" s="3"/>
      <x:c r="F6" s="3"/>
      <x:c r="G6" s="3"/>
    </x:row>
    <x:row r="7" ht="23" customHeight="1">
      <x:c r="A7" s="3" t="str">
        <x:v>Annual launch growth</x:v>
      </x:c>
      <x:c r="B7" s="12" t="n">
        <x:v>0.15</x:v>
      </x:c>
      <x:c r="C7" s="3"/>
      <x:c r="D7" s="3"/>
      <x:c r="E7" s="3"/>
      <x:c r="F7" s="3"/>
      <x:c r="G7" s="3"/>
    </x:row>
    <x:row r="8" ht="23" customHeight="1">
      <x:c r="A8" s="3" t="str">
        <x:v>Revenue / launch ($M)</x:v>
      </x:c>
      <x:c r="B8" s="13" t="n">
        <x:v>70</x:v>
      </x:c>
      <x:c r="C8" s="3"/>
      <x:c r="D8" s="3"/>
      <x:c r="E8" s="3"/>
      <x:c r="F8" s="3"/>
      <x:c r="G8" s="3"/>
    </x:row>
    <x:row r="9" ht="23" customHeight="1">
      <x:c r="A9" s="3" t="str">
        <x:v>Variable cost / launch ($M)</x:v>
      </x:c>
      <x:c r="B9" s="13" t="n">
        <x:v>35</x:v>
      </x:c>
      <x:c r="C9" s="3"/>
      <x:c r="D9" s="3"/>
      <x:c r="E9" s="3"/>
      <x:c r="F9" s="3"/>
      <x:c r="G9" s="3"/>
    </x:row>
    <x:row r="10" ht="23" customHeight="1">
      <x:c r="A10" s="3" t="str">
        <x:v>Annual fixed costs ($M)</x:v>
      </x:c>
      <x:c r="B10" s="13" t="n">
        <x:v>2000</x:v>
      </x:c>
      <x:c r="C10" s="3"/>
      <x:c r="D10" s="3"/>
      <x:c r="E10" s="3"/>
      <x:c r="F10" s="3"/>
      <x:c r="G10" s="3"/>
    </x:row>
    <x:row r="11" ht="23" customHeight="1">
      <x:c r="A11" s="3"/>
      <x:c r="B11" s="3"/>
      <x:c r="C11" s="3"/>
      <x:c r="D11" s="3"/>
      <x:c r="E11" s="3"/>
      <x:c r="F11" s="3"/>
      <x:c r="G11" s="3"/>
    </x:row>
    <x:row r="12" ht="27" customHeight="1">
      <x:c r="A12" s="37" t="str">
        <x:v>2027 results · USD millions</x:v>
      </x:c>
      <x:c r="B12" s="37"/>
      <x:c r="C12" s="3"/>
      <x:c r="D12" s="3"/>
      <x:c r="E12" s="3"/>
      <x:c r="F12" s="3"/>
      <x:c r="G12" s="3"/>
    </x:row>
    <x:row r="13" ht="23" customHeight="1">
      <x:c r="A13" s="3" t="str">
        <x:v>Revenue</x:v>
      </x:c>
      <x:c r="B13" s="30" t="n">
        <x:f>D22</x:f>
        <x:v>8400</x:v>
      </x:c>
      <x:c r="C13" s="3"/>
      <x:c r="D13" s="3"/>
      <x:c r="E13" s="3"/>
      <x:c r="F13" s="3"/>
      <x:c r="G13" s="3"/>
    </x:row>
    <x:row r="14" ht="23" customHeight="1">
      <x:c r="A14" s="23" t="str">
        <x:v>Operating profit</x:v>
      </x:c>
      <x:c r="B14" s="31" t="n">
        <x:f>G22</x:f>
        <x:v>2200</x:v>
      </x:c>
      <x:c r="C14" s="3"/>
      <x:c r="D14" s="3"/>
      <x:c r="E14" s="3"/>
      <x:c r="F14" s="3"/>
      <x:c r="G14" s="3"/>
    </x:row>
    <x:row r="15" ht="23" customHeight="1">
      <x:c r="A15" s="17" t="str">
        <x:v>Operating margin</x:v>
      </x:c>
      <x:c r="B15" s="32" t="n">
        <x:f>IF(B13=0,"n.a.",B14/B13)</x:f>
        <x:v>0.2619047619047619</x:v>
      </x:c>
      <x:c r="C15" s="3"/>
      <x:c r="D15" s="3"/>
      <x:c r="E15" s="3"/>
      <x:c r="F15" s="3"/>
      <x:c r="G15" s="3"/>
    </x:row>
    <x:row r="16" ht="23" customHeight="1">
      <x:c r="A16" s="3" t="str">
        <x:v>Break-even launches</x:v>
      </x:c>
      <x:c r="B16" s="33" t="n">
        <x:f>IF(B8&gt;B9,ROUNDUP(B10/(B8-B9),0),"n.a.")</x:f>
        <x:v>58</x:v>
      </x:c>
      <x:c r="C16" s="3"/>
      <x:c r="D16" s="3"/>
      <x:c r="E16" s="3"/>
      <x:c r="F16" s="3"/>
      <x:c r="G16" s="3"/>
    </x:row>
    <x:row r="17" ht="23" customHeight="1">
      <x:c r="A17" s="3"/>
      <x:c r="B17" s="3"/>
      <x:c r="C17" s="3"/>
      <x:c r="D17" s="3"/>
      <x:c r="E17" s="3"/>
      <x:c r="F17" s="3"/>
      <x:c r="G17" s="3"/>
    </x:row>
    <x:row r="18" ht="23" customHeight="1">
      <x:c r="A18" s="7" t="str">
        <x:v>Blue on amber = editable inputs</x:v>
      </x:c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25" t="str">
        <x:v>Five-year forecast · USD millions</x:v>
      </x:c>
      <x:c r="B20" s="3"/>
      <x:c r="C20" s="3"/>
      <x:c r="D20" s="3"/>
      <x:c r="E20" s="3"/>
      <x:c r="F20" s="3"/>
      <x:c r="G20" s="3"/>
    </x:row>
    <x:row r="21" ht="27" customHeight="1">
      <x:c r="A21" s="38" t="str">
        <x:v>Year</x:v>
      </x:c>
      <x:c r="B21" s="38" t="str">
        <x:v>Launches</x:v>
      </x:c>
      <x:c r="C21" s="3"/>
      <x:c r="D21" s="38" t="str">
        <x:v>Revenue</x:v>
      </x:c>
      <x:c r="E21" s="38" t="str">
        <x:v>Variable costs</x:v>
      </x:c>
      <x:c r="F21" s="38" t="str">
        <x:v>Fixed costs</x:v>
      </x:c>
      <x:c r="G21" s="38" t="str">
        <x:v>Operating profit</x:v>
      </x:c>
    </x:row>
    <x:row r="22" ht="23" customHeight="1">
      <x:c r="A22" s="39" t="n">
        <x:v>2027</x:v>
      </x:c>
      <x:c r="B22" s="40" t="n">
        <x:f>$B$6</x:f>
        <x:v>120</x:v>
      </x:c>
      <x:c r="C22" s="3"/>
      <x:c r="D22" s="41" t="n">
        <x:f>B22*$B$8</x:f>
        <x:v>8400</x:v>
      </x:c>
      <x:c r="E22" s="41" t="n">
        <x:f>B22*$B$9</x:f>
        <x:v>4200</x:v>
      </x:c>
      <x:c r="F22" s="41" t="n">
        <x:f>$B$10</x:f>
        <x:v>2000</x:v>
      </x:c>
      <x:c r="G22" s="42" t="n">
        <x:f>D22-SUM(E22:F22)</x:f>
        <x:v>2200</x:v>
      </x:c>
    </x:row>
    <x:row r="23" ht="23" customHeight="1">
      <x:c r="A23" s="3" t="n">
        <x:v>2028</x:v>
      </x:c>
      <x:c r="B23" s="27" t="n">
        <x:f>ROUND(B22*(1+$B$7),0)</x:f>
        <x:v>138</x:v>
      </x:c>
      <x:c r="C23" s="3"/>
      <x:c r="D23" s="34" t="n">
        <x:f>B23*$B$8</x:f>
        <x:v>9660</x:v>
      </x:c>
      <x:c r="E23" s="34" t="n">
        <x:f>B23*$B$9</x:f>
        <x:v>4830</x:v>
      </x:c>
      <x:c r="F23" s="34" t="n">
        <x:f>$B$10</x:f>
        <x:v>2000</x:v>
      </x:c>
      <x:c r="G23" s="35" t="n">
        <x:f>D23-SUM(E23:F23)</x:f>
        <x:v>2830</x:v>
      </x:c>
    </x:row>
    <x:row r="24" ht="23" customHeight="1">
      <x:c r="A24" s="39" t="n">
        <x:v>2029</x:v>
      </x:c>
      <x:c r="B24" s="40" t="n">
        <x:f>ROUND(B23*(1+$B$7),0)</x:f>
        <x:v>159</x:v>
      </x:c>
      <x:c r="C24" s="3"/>
      <x:c r="D24" s="41" t="n">
        <x:f>B24*$B$8</x:f>
        <x:v>11130</x:v>
      </x:c>
      <x:c r="E24" s="41" t="n">
        <x:f>B24*$B$9</x:f>
        <x:v>5565</x:v>
      </x:c>
      <x:c r="F24" s="41" t="n">
        <x:f>$B$10</x:f>
        <x:v>2000</x:v>
      </x:c>
      <x:c r="G24" s="42" t="n">
        <x:f>D24-SUM(E24:F24)</x:f>
        <x:v>3565</x:v>
      </x:c>
    </x:row>
    <x:row r="25" ht="23" customHeight="1">
      <x:c r="A25" s="3" t="n">
        <x:v>2030</x:v>
      </x:c>
      <x:c r="B25" s="27" t="n">
        <x:f>ROUND(B24*(1+$B$7),0)</x:f>
        <x:v>183</x:v>
      </x:c>
      <x:c r="C25" s="3"/>
      <x:c r="D25" s="34" t="n">
        <x:f>B25*$B$8</x:f>
        <x:v>12810</x:v>
      </x:c>
      <x:c r="E25" s="34" t="n">
        <x:f>B25*$B$9</x:f>
        <x:v>6405</x:v>
      </x:c>
      <x:c r="F25" s="34" t="n">
        <x:f>$B$10</x:f>
        <x:v>2000</x:v>
      </x:c>
      <x:c r="G25" s="35" t="n">
        <x:f>D25-SUM(E25:F25)</x:f>
        <x:v>4405</x:v>
      </x:c>
    </x:row>
    <x:row r="26" ht="23" customHeight="1">
      <x:c r="A26" s="39" t="n">
        <x:v>2031</x:v>
      </x:c>
      <x:c r="B26" s="40" t="n">
        <x:f>ROUND(B25*(1+$B$7),0)</x:f>
        <x:v>210</x:v>
      </x:c>
      <x:c r="C26" s="3"/>
      <x:c r="D26" s="41" t="n">
        <x:f>B26*$B$8</x:f>
        <x:v>14700</x:v>
      </x:c>
      <x:c r="E26" s="41" t="n">
        <x:f>B26*$B$9</x:f>
        <x:v>7350</x:v>
      </x:c>
      <x:c r="F26" s="41" t="n">
        <x:f>$B$10</x:f>
        <x:v>2000</x:v>
      </x:c>
      <x:c r="G26" s="42" t="n">
        <x:f>D26-SUM(E26:F26)</x:f>
        <x:v>5350</x:v>
      </x:c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7" t="str">
        <x:v>Launch volume grows annually; whole launches are rounded. Price and unit cost stay flat.</x:v>
      </x:c>
      <x:c r="B28" s="3"/>
      <x:c r="C28" s="3"/>
      <x:c r="D28" s="3"/>
      <x:c r="E28" s="3"/>
      <x:c r="F28" s="3"/>
      <x:c r="G28" s="3"/>
    </x:row>
    <x:row r="29" ht="23" customHeight="1">
      <x:c r="A29" s="7" t="str">
        <x:v>Illustrative launch business only; excludes satellites, financing, taxes and capital spending.</x:v>
      </x:c>
      <x:c r="B29" s="3"/>
      <x:c r="C29" s="3"/>
      <x:c r="D29" s="3"/>
      <x:c r="E29" s="3"/>
      <x:c r="F29" s="3"/>
      <x:c r="G29" s="3"/>
    </x:row>
  </x:sheetData>
  <x:dataValidations count="1">
    <x:dataValidation type="whole" operator="between" sqref="B6">
      <x:formula1>0</x:formula1>
      <x:formula2>10000</x:formula2>
    </x:dataValidation>
  </x:dataValidations>
  <x:pageMargins left="0.7" right="0.7" top="0.75" bottom="0.75" header="0.3" footer="0.3"/>
  <x:drawing xmlns:r="http://schemas.openxmlformats.org/officeDocument/2006/relationships" r:id="R72ebeaf421fe4538"/>
</x:worksheet>
</file>